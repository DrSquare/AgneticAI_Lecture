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da6267602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2a217d60d15440f6"/>
    <x:sheet xmlns:r="http://schemas.openxmlformats.org/officeDocument/2006/relationships" name="Landscape" sheetId="2" r:id="R402ca68484b5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"/>
    <x:numFmt numFmtId="202" formatCode="0.00"/>
    <x:numFmt numFmtId="203" formatCode="0"/>
    <x:numFmt numFmtId="204" formatCode="0.000"/>
  </x:numFmts>
  <x:fonts count="5">
    <x:font>
      <x:sz val="11"/>
      <x:name val="Carlito"/>
    </x:font>
    <x:font>
      <x:sz val="11"/>
      <x:name val="Arial"/>
    </x:font>
    <x:font>
      <x:b/>
      <x:sz val="17"/>
      <x:color rgb="FF10243A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43A"/>
      </x:patternFill>
    </x:fill>
    <x:fill>
      <x:patternFill patternType="solid">
        <x:fgColor rgb="FFFFFFFF"/>
      </x:patternFill>
    </x:fill>
    <x:fill>
      <x:patternFill patternType="solid">
        <x:fgColor rgb="FFF0F4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2" fontId="4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4" borderId="0" xfId="0" applyNumberFormat="1" applyFont="1" applyFill="1" applyBorder="1" applyAlignment="1">
      <x:alignment vertical="center" wrapText="1"/>
    </x:xf>
    <x:xf numFmtId="204" fontId="4" fillId="3" borderId="0" xfId="0" applyNumberFormat="1" applyFont="1" applyFill="1" applyBorder="1" applyAlignment="1">
      <x:alignment vertical="center" wrapText="1"/>
    </x:xf>
    <x:xf numFmtId="204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a7e05cbb74769" /><Relationship Type="http://schemas.openxmlformats.org/officeDocument/2006/relationships/theme" Target="/xl/theme/theme1.xml" Id="Raf97f49df52a4f59" /><Relationship Type="http://schemas.microsoft.com/office/2022/11/relationships/FeaturePropertyBag" Target="/xl/featurePropertyBag/featurePropertyBag.xml" Id="R698cc96d470c4765" /><Relationship Type="http://schemas.openxmlformats.org/officeDocument/2006/relationships/sharedStrings" Target="/xl/sharedStrings.xml" Id="Rca640dcfddd2417f" /><Relationship Type="http://schemas.openxmlformats.org/officeDocument/2006/relationships/worksheet" Target="/xl/worksheets/sheet1.xml" Id="R2a217d60d15440f6" /><Relationship Type="http://schemas.openxmlformats.org/officeDocument/2006/relationships/worksheet" Target="/xl/worksheets/sheet2.xml" Id="R402ca68484b549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43A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.5" hidden="0" customWidth="1"/>
    <x:col min="2" max="2" width="13.75" hidden="0" customWidth="1"/>
    <x:col min="3" max="3" width="26.25" hidden="0" customWidth="1"/>
    <x:col min="4" max="4" width="14.380000114440918" hidden="0" customWidth="1"/>
    <x:col min="5" max="5" width="15.630000114440918" hidden="0" customWidth="1"/>
    <x:col min="6" max="6" width="12.5" hidden="0" customWidth="1"/>
    <x:col min="7" max="7" width="14.380000114440918" hidden="0" customWidth="1"/>
    <x:col min="8" max="8" width="11.25" hidden="0" customWidth="1"/>
    <x:col min="9" max="9" width="15.630000114440918" hidden="0" customWidth="1"/>
    <x:col min="10" max="10" width="30.6299991607666" hidden="0" customWidth="1"/>
    <x:col min="11" max="11" width="3" hidden="0" customWidth="1"/>
    <x:col min="12" max="12" width="77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Embodied AI financing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As of</x:v>
      </x:c>
      <x:c r="B3" s="4" t="d">
        <x:v>2026-10-17T00:00:00.000Z</x:v>
      </x:c>
      <x:c r="C3" s="2" t="str">
        <x:v>Window: 2025-10-17 to 2026-10-17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8" t="str">
        <x:v>Company</x:v>
      </x:c>
      <x:c r="B5" s="8" t="str">
        <x:v>Valuation ($B)</x:v>
      </x:c>
      <x:c r="C5" s="8" t="str">
        <x:v>Valuation basis</x:v>
      </x:c>
      <x:c r="D5" s="8" t="str">
        <x:v>Total capital ($B)</x:v>
      </x:c>
      <x:c r="E5" s="8" t="str">
        <x:v>Valuation / capital</x:v>
      </x:c>
      <x:c r="F5" s="8" t="str">
        <x:v>Ratio eligible</x:v>
      </x:c>
      <x:c r="G5" s="8" t="str">
        <x:v>Latest evidence</x:v>
      </x:c>
      <x:c r="H5" s="8" t="str">
        <x:v>Age (days)</x:v>
      </x:c>
      <x:c r="I5" s="8" t="str">
        <x:v>Verified round ($B)</x:v>
      </x:c>
      <x:c r="J5" s="8" t="str">
        <x:v>Round basis and date</x:v>
      </x:c>
      <x:c r="K5" s="2"/>
      <x:c r="L5" s="6" t="str">
        <x:v>Input source URLs and dates</x:v>
      </x:c>
    </x:row>
    <x:row r="6" ht="93.75" customHeight="1">
      <x:c r="A6" s="12" t="str">
        <x:v>Figure AI</x:v>
      </x:c>
      <x:c r="B6" s="29" t="n">
        <x:v>39</x:v>
      </x:c>
      <x:c r="C6" s="30" t="str">
        <x:v>Historical post-money</x:v>
      </x:c>
      <x:c r="D6" s="31"/>
      <x:c r="E6" s="21" t="str">
        <x:f>IF(OR(B6="",D6="",D6=0,F6&lt;&gt;TRUE),"Not comparable",B6/D6)</x:f>
        <x:v>Not comparable</x:v>
      </x:c>
      <x:c r="F6" s="35" t="b">
        <x:v>0</x:v>
      </x:c>
      <x:c r="G6" s="36" t="d">
        <x:v>2026-09-30T00:00:00.000Z</x:v>
      </x:c>
      <x:c r="H6" s="25" t="n">
        <x:f>$B$3-G6</x:f>
        <x:v>17</x:v>
      </x:c>
      <x:c r="I6" s="39"/>
      <x:c r="J6" s="12" t="str">
        <x:v>Sep 2026 strategic equity, amount undisclosed</x:v>
      </x:c>
      <x:c r="K6" s="14"/>
      <x:c r="L6" s="14" t="str">
        <x:v>Valuation (2025-09-16): https://www.figure.ai/news/series-c
Capital: not verified in this run.
Round: https://www.nscale.com/press-releases/nscale-and-figure
Latest evidence: 2026-09-30. See dated profile for publication context.</x:v>
      </x:c>
    </x:row>
    <x:row r="7" ht="93.75" customHeight="1">
      <x:c r="A7" s="17" t="str">
        <x:v>Physical Intelligence</x:v>
      </x:c>
      <x:c r="B7" s="32" t="n">
        <x:v>5.6</x:v>
      </x:c>
      <x:c r="C7" s="33" t="str">
        <x:v>Investor baseline, basis unclear</x:v>
      </x:c>
      <x:c r="D7" s="34"/>
      <x:c r="E7" s="22" t="str">
        <x:f>IF(OR(B7="",D7="",D7=0,F7&lt;&gt;TRUE),"Not comparable",B7/D7)</x:f>
        <x:v>Not comparable</x:v>
      </x:c>
      <x:c r="F7" s="37" t="b">
        <x:v>0</x:v>
      </x:c>
      <x:c r="G7" s="38" t="d">
        <x:v>2026-10-13T00:00:00.000Z</x:v>
      </x:c>
      <x:c r="H7" s="26" t="n">
        <x:f>$B$3-G7</x:f>
        <x:v>4</x:v>
      </x:c>
      <x:c r="I7" s="40" t="n">
        <x:v>0.6</x:v>
      </x:c>
      <x:c r="J7" s="17" t="str">
        <x:v>Nov 2025 verified Series B, $B</x:v>
      </x:c>
      <x:c r="K7" s="14"/>
      <x:c r="L7" s="14" t="str">
        <x:v>Valuation (2025-11): https://outsetcapital.com/blog/physical-intelligence-series-b
Capital: not verified in this run.
Round: https://capitalg.com/insights/
Latest evidence: 2026-10-13. See dated profile for publication context.</x:v>
      </x:c>
    </x:row>
    <x:row r="8" ht="93.75" customHeight="1">
      <x:c r="A8" s="12" t="str">
        <x:v>Skild AI</x:v>
      </x:c>
      <x:c r="B8" s="29" t="n">
        <x:v>14</x:v>
      </x:c>
      <x:c r="C8" s="30" t="str">
        <x:v>Greater-than endpoint</x:v>
      </x:c>
      <x:c r="D8" s="31"/>
      <x:c r="E8" s="21" t="str">
        <x:f>IF(OR(B8="",D8="",D8=0,F8&lt;&gt;TRUE),"Not comparable",B8/D8)</x:f>
        <x:v>Not comparable</x:v>
      </x:c>
      <x:c r="F8" s="35" t="b">
        <x:v>0</x:v>
      </x:c>
      <x:c r="G8" s="36" t="d">
        <x:v>2026-09-29T00:00:00.000Z</x:v>
      </x:c>
      <x:c r="H8" s="25" t="n">
        <x:f>$B$3-G8</x:f>
        <x:v>18</x:v>
      </x:c>
      <x:c r="I8" s="39" t="n">
        <x:v>1.4</x:v>
      </x:c>
      <x:c r="J8" s="12" t="str">
        <x:v>Jan 2026 Series C, $B</x:v>
      </x:c>
      <x:c r="K8" s="14"/>
      <x:c r="L8" s="14" t="str">
        <x:v>Valuation (2026-01-14): https://skild.ai/blogs/series-c
Capital: not verified in this run.
Round: https://skild.ai/blogs/series-c
Latest evidence: 2026-09-29. See dated profile for publication context.</x:v>
      </x:c>
    </x:row>
    <x:row r="9" ht="93.75" customHeight="1">
      <x:c r="A9" s="17" t="str">
        <x:v>Agility Robotics</x:v>
      </x:c>
      <x:c r="B9" s="32" t="n">
        <x:v>2.5</x:v>
      </x:c>
      <x:c r="C9" s="33" t="str">
        <x:v>Proposed pre-money SPAC</x:v>
      </x:c>
      <x:c r="D9" s="34"/>
      <x:c r="E9" s="22" t="str">
        <x:f>IF(OR(B9="",D9="",D9=0,F9&lt;&gt;TRUE),"Not comparable",B9/D9)</x:f>
        <x:v>Not comparable</x:v>
      </x:c>
      <x:c r="F9" s="37" t="b">
        <x:v>0</x:v>
      </x:c>
      <x:c r="G9" s="38" t="d">
        <x:v>2026-10-15T00:00:00.000Z</x:v>
      </x:c>
      <x:c r="H9" s="26" t="n">
        <x:f>$B$3-G9</x:f>
        <x:v>2</x:v>
      </x:c>
      <x:c r="I9" s="40" t="n">
        <x:v>0.1</x:v>
      </x:c>
      <x:c r="J9" s="17" t="str">
        <x:v>July 2026 SAFEs, $B</x:v>
      </x:c>
      <x:c r="K9" s="14"/>
      <x:c r="L9" s="14" t="str">
        <x:v>Valuation (2026-06-24): https://www.sec.gov/Archives/edgar/data/2074973/000121390026071287/ea029548401ex99-1.htm
Capital: not verified in this run.
Round: https://www.sec.gov/Archives/edgar/data/1727116/000121390026105334/ea0297114-05.htm
Latest evidence: 2026-10-15. See dated profile for publication context.</x:v>
      </x:c>
    </x:row>
    <x:row r="10" ht="93.75" customHeight="1">
      <x:c r="A10" s="12" t="str">
        <x:v>1X Technologies</x:v>
      </x:c>
      <x:c r="B10" s="29" t="n">
        <x:v>6</x:v>
      </x:c>
      <x:c r="C10" s="30" t="str">
        <x:v>Reported talks, unconfirmed</x:v>
      </x:c>
      <x:c r="D10" s="31"/>
      <x:c r="E10" s="21" t="str">
        <x:f>IF(OR(B10="",D10="",D10=0,F10&lt;&gt;TRUE),"Not comparable",B10/D10)</x:f>
        <x:v>Not comparable</x:v>
      </x:c>
      <x:c r="F10" s="35" t="b">
        <x:v>0</x:v>
      </x:c>
      <x:c r="G10" s="36" t="d">
        <x:v>2026-08-26T00:00:00.000Z</x:v>
      </x:c>
      <x:c r="H10" s="25" t="n">
        <x:f>$B$3-G10</x:f>
        <x:v>52</x:v>
      </x:c>
      <x:c r="I10" s="39" t="n">
        <x:v>0.1</x:v>
      </x:c>
      <x:c r="J10" s="12" t="str">
        <x:v>Jan 2024 Series B, $B (outside window)</x:v>
      </x:c>
      <x:c r="K10" s="14"/>
      <x:c r="L10" s="14" t="str">
        <x:v>Valuation (2026-08-26): https://live.euronext.com/en/financial-news/softbank-talks-buy-stake-1x-6-billion-valuation-information-reports
Capital: not verified in this run.
Round: https://www.1x.tech/discover/1x-secures-100m-in-series-b-funding
Latest evidence: 2026-08-26. See dated profile for publication context.</x:v>
      </x:c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A12" s="2" t="str">
        <x:v>Blank capital inputs mean unavailable, not zero. Blue numeric cells are inputs.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 t="str">
        <x:v>Ratio eligible stays FALSE until valuation and capital are exact and measured on a comparable basis.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 t="str">
        <x:v>Reported, proposed and lower-bound figures are endpoints with qualifiers, not interchangeable company values.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 t="str">
        <x:v>The 1X round is historical. Figure has newer strategic equity with an undisclosed amount.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 t="str">
        <x:v>The $B unit applies to financing only. Revenue definitions and dates appear on Landscape.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2.5" hidden="0" customWidth="1"/>
    <x:col min="5" max="5" width="40" hidden="0" customWidth="1"/>
    <x:col min="6" max="6" width="48.75" hidden="0" customWidth="1"/>
    <x:col min="7" max="7" width="40" hidden="0" customWidth="1"/>
    <x:col min="8" max="8" width="28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Operating landscape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Prepared 2026-10-17. Momentum is analyst judgment, not a measured market-share ranking.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1.5" customHeight="1">
      <x:c r="A5" s="8" t="str">
        <x:v>Company</x:v>
      </x:c>
      <x:c r="B5" s="8" t="str">
        <x:v>Layer</x:v>
      </x:c>
      <x:c r="C5" s="8" t="str">
        <x:v>Flagship</x:v>
      </x:c>
      <x:c r="D5" s="8" t="str">
        <x:v>Revenue signal</x:v>
      </x:c>
      <x:c r="E5" s="8" t="str">
        <x:v>Customers / partners</x:v>
      </x:c>
      <x:c r="F5" s="8" t="str">
        <x:v>Manufacturing and scale</x:v>
      </x:c>
      <x:c r="G5" s="8" t="str">
        <x:v>Main diligence risk</x:v>
      </x:c>
      <x:c r="H5" s="8" t="str">
        <x:v>Momentum</x:v>
      </x:c>
      <x:c r="I5" s="2"/>
      <x:c r="J5" s="2"/>
      <x:c r="K5" s="2"/>
      <x:c r="L5" s="2"/>
    </x:row>
    <x:row r="6" ht="123.75" customHeight="1">
      <x:c r="A6" s="12" t="str">
        <x:v>Figure AI</x:v>
      </x:c>
      <x:c r="B6" s="12" t="str">
        <x:v>Full-stack humanoid</x:v>
      </x:c>
      <x:c r="C6" s="12" t="str">
        <x:v>Figure 03 + Helix 2.5</x:v>
      </x:c>
      <x:c r="D6" s="12" t="str">
        <x:v>Not disclosed. BMW pilot and Catalyst agreement.</x:v>
      </x:c>
      <x:c r="E6" s="12" t="str">
        <x:v>BMW (customer-confirmed pilot and Figure 03 follow-on); Catalyst Brands (Figure-announced agreement)</x:v>
      </x:c>
      <x:c r="F6" s="12" t="str">
        <x:v>Company-reported &gt;350 Figure 03 from BotQ and one/hour demonstrated cycle time as of 2026-04-29; includes internal allocations, not external deliveries</x:v>
      </x:c>
      <x:c r="G6" s="12" t="str">
        <x:v>Capital intensity and reliable autonomy/unit economics at commercial scale</x:v>
      </x:c>
      <x:c r="H6" s="12" t="str">
        <x:v>Gaining on technical/customer milestones</x:v>
      </x:c>
      <x:c r="I6" s="2"/>
      <x:c r="J6" s="2"/>
      <x:c r="K6" s="2"/>
      <x:c r="L6" s="2"/>
    </x:row>
    <x:row r="7" ht="123.75" customHeight="1">
      <x:c r="A7" s="17" t="str">
        <x:v>Physical Intelligence</x:v>
      </x:c>
      <x:c r="B7" s="17" t="str">
        <x:v>Robot foundation model</x:v>
      </x:c>
      <x:c r="C7" s="17" t="str">
        <x:v>π0.7 research model (2026-04-16); Pi API beta (2026-10-13)</x:v>
      </x:c>
      <x:c r="D7" s="17" t="str">
        <x:v>Not disclosed. API beta and partner deployments.</x:v>
      </x:c>
      <x:c r="E7" s="17" t="str">
        <x:v>Named partners: Weave, Ultra; October API collaborators include Actor, CloudChef, Chef Robotics and Formic Robotics. Paid customer status not established for each.</x:v>
      </x:c>
      <x:c r="F7" s="17" t="str">
        <x:v>Not applicable for factory metrics at model/software layer; scale through partner robots and hosted API. No verified PI unit-delivery count.</x:v>
      </x:c>
      <x:c r="G7" s="17" t="str">
        <x:v>Intervention economics, safe operation under cloud connectivity failures, and beta-to-paid conversion remain unproven publicly.</x:v>
      </x:c>
      <x:c r="H7" s="17" t="str">
        <x:v>Gaining on model and API distribution</x:v>
      </x:c>
      <x:c r="I7" s="2"/>
      <x:c r="J7" s="2"/>
      <x:c r="K7" s="2"/>
      <x:c r="L7" s="2"/>
    </x:row>
    <x:row r="8" ht="123.75" customHeight="1">
      <x:c r="A8" s="12" t="str">
        <x:v>Skild AI</x:v>
      </x:c>
      <x:c r="B8" s="12" t="str">
        <x:v>Model + acquired operations</x:v>
      </x:c>
      <x:c r="C8" s="12" t="str">
        <x:v>S1 / Skild Brain</x:v>
      </x:c>
      <x:c r="D8" s="12" t="str">
        <x:v>&gt;$100M ARR, company-reported in Sep 2026.</x:v>
      </x:c>
      <x:c r="E8" s="12" t="str">
        <x:v>60+ paying customers claimed; NVIDIA/Foxconn deployment work; Sumitomo planned; Mitsui pilot; PIT proof-of-concept.</x:v>
      </x:c>
      <x:c r="F8" s="12" t="str">
        <x:v>OEM channels plus acquired Zebra Robotics Automation; unit shipments/capacity not disclosed.</x:v>
      </x:c>
      <x:c r="G8" s="12" t="str">
        <x:v>Production reliability, intervention cost and revenue-quality evidence remain unverified.</x:v>
      </x:c>
      <x:c r="H8" s="12" t="str">
        <x:v>Gaining on reported commercial adoption</x:v>
      </x:c>
      <x:c r="I8" s="2"/>
      <x:c r="J8" s="2"/>
      <x:c r="K8" s="2"/>
      <x:c r="L8" s="2"/>
    </x:row>
    <x:row r="9" ht="123.75" customHeight="1">
      <x:c r="A9" s="17" t="str">
        <x:v>Agility Robotics</x:v>
      </x:c>
      <x:c r="B9" s="17" t="str">
        <x:v>Logistics humanoid</x:v>
      </x:c>
      <x:c r="C9" s="17" t="str">
        <x:v>Digit 4 deployed; Digit 5 announced, H1 2027 early access planned</x:v>
      </x:c>
      <x:c r="D9" s="17" t="str">
        <x:v>FY2025 sales $1.782M, indexed SEC table.</x:v>
      </x:c>
      <x:c r="E9" s="17" t="str">
        <x:v>GXO; Schaeffler; Toyota Motor Manufacturing Canada</x:v>
      </x:c>
      <x:c r="F9" s="17" t="str">
        <x:v>Company-reported 9 committed facility deployments and 65,000 operating hours as of May 2026; RoboFab designed for 10,000/year, not actual output</x:v>
      </x:c>
      <x:c r="G9" s="17" t="str">
        <x:v>Conditional concentrated order conversion, Digit 5 scale/safety execution, and financing continuity</x:v>
      </x:c>
      <x:c r="H9" s="17" t="str">
        <x:v>Under pressure from financing conditions</x:v>
      </x:c>
      <x:c r="I9" s="2"/>
      <x:c r="J9" s="2"/>
      <x:c r="K9" s="2"/>
      <x:c r="L9" s="2"/>
    </x:row>
    <x:row r="10" ht="123.75" customHeight="1">
      <x:c r="A10" s="12" t="str">
        <x:v>1X Technologies</x:v>
      </x:c>
      <x:c r="B10" s="12" t="str">
        <x:v>Home humanoid</x:v>
      </x:c>
      <x:c r="C10" s="12" t="str">
        <x:v>NEO; Redwood AI / 1XWM</x:v>
      </x:c>
      <x:c r="D10" s="12" t="str">
        <x:v>Not disclosed. Preorders, external deliveries unverified.</x:v>
      </x:c>
      <x:c r="E10" s="12" t="str">
        <x:v>Consumers unnamed; EQT portfolio access framework and IFS development partnership, not confirmed deployed customer fleet.</x:v>
      </x:c>
      <x:c r="F10" s="12" t="str">
        <x:v>Company-reported 10,000 NEO/year capacity ramp; 100,000+/year end-2027 target; complete external customer deliveries not verified.</x:v>
      </x:c>
      <x:c r="G10" s="12" t="str">
        <x:v>Home autonomy and expert-service economics remain unverified at customer scale; financing status unclear.</x:v>
      </x:c>
      <x:c r="H10" s="12" t="str">
        <x:v>Holding pending independent delivery evidence</x:v>
      </x:c>
      <x:c r="I10" s="2"/>
      <x:c r="J10" s="2"/>
      <x:c r="K10" s="2"/>
      <x:c r="L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A12" s="2" t="str">
        <x:v>Sources: company profiles and evidence JSON in research/. Financing URLs sit beside inputs on Matrix.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 t="str">
        <x:v>Company-reported metrics are unaudited. Capacity, orders and deliveries differ.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</x:sheetData>
  <x:pageMargins left="0.7" right="0.7" top="0.75" bottom="0.75" header="0.3" footer="0.3"/>
</x:worksheet>
</file>