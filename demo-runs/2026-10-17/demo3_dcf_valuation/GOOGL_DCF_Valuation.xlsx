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_min\repos\SNU_Agentic_AI_Lecture\demo-runs\2026-10-17\demo3_dcf_valuation\"/>
    </mc:Choice>
  </mc:AlternateContent>
  <xr:revisionPtr revIDLastSave="0" documentId="13_ncr:1_{CB710F5D-DD84-4A03-BD22-12E4C1F6C320}" xr6:coauthVersionLast="47" xr6:coauthVersionMax="47" xr10:uidLastSave="{00000000-0000-0000-0000-000000000000}"/>
  <bookViews>
    <workbookView xWindow="2280" yWindow="2280" windowWidth="18000" windowHeight="11170" xr2:uid="{00000000-000D-0000-FFFF-FFFF00000000}"/>
  </bookViews>
  <sheets>
    <sheet name="README" sheetId="1" r:id="rId1"/>
    <sheet name="Assumptions" sheetId="2" r:id="rId2"/>
    <sheet name="Summary" sheetId="3" r:id="rId3"/>
    <sheet name="Historicals" sheetId="4" r:id="rId4"/>
    <sheet name="Projections" sheetId="5" r:id="rId5"/>
    <sheet name="DCF" sheetId="6" r:id="rId6"/>
    <sheet name="Sensitivity" sheetId="7" r:id="rId7"/>
    <sheet name="Multipl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8" l="1"/>
  <c r="G48" i="8" s="1"/>
  <c r="F77" i="8"/>
  <c r="F48" i="8" s="1"/>
  <c r="E77" i="8"/>
  <c r="E48" i="8" s="1"/>
  <c r="D77" i="8"/>
  <c r="D48" i="8" s="1"/>
  <c r="G38" i="8"/>
  <c r="G86" i="8" s="1"/>
  <c r="F38" i="8"/>
  <c r="F86" i="8" s="1"/>
  <c r="E38" i="8"/>
  <c r="E86" i="8" s="1"/>
  <c r="D38" i="8"/>
  <c r="D86" i="8" s="1"/>
  <c r="G33" i="8"/>
  <c r="F33" i="8"/>
  <c r="E33" i="8"/>
  <c r="D33" i="8"/>
  <c r="G28" i="8"/>
  <c r="G85" i="8" s="1"/>
  <c r="F28" i="8"/>
  <c r="F85" i="8" s="1"/>
  <c r="E28" i="8"/>
  <c r="E85" i="8" s="1"/>
  <c r="D28" i="8"/>
  <c r="D85" i="8" s="1"/>
  <c r="D87" i="8" s="1"/>
  <c r="G23" i="8"/>
  <c r="F23" i="8"/>
  <c r="E23" i="8"/>
  <c r="D23" i="8"/>
  <c r="G10" i="8"/>
  <c r="F10" i="8"/>
  <c r="E10" i="8"/>
  <c r="E16" i="8" s="1"/>
  <c r="D10" i="8"/>
  <c r="D4" i="8"/>
  <c r="D21" i="7"/>
  <c r="H9" i="7"/>
  <c r="G9" i="7"/>
  <c r="F9" i="7"/>
  <c r="E9" i="7"/>
  <c r="D9" i="7"/>
  <c r="D4" i="7"/>
  <c r="D50" i="6"/>
  <c r="D47" i="6"/>
  <c r="D46" i="6"/>
  <c r="D45" i="6"/>
  <c r="D43" i="6"/>
  <c r="D42" i="6"/>
  <c r="D36" i="6"/>
  <c r="H19" i="6"/>
  <c r="H20" i="6" s="1"/>
  <c r="G19" i="6"/>
  <c r="G20" i="6" s="1"/>
  <c r="F19" i="6"/>
  <c r="F20" i="6" s="1"/>
  <c r="E19" i="6"/>
  <c r="E20" i="6" s="1"/>
  <c r="D19" i="6"/>
  <c r="D21" i="6" s="1"/>
  <c r="D11" i="6"/>
  <c r="D10" i="6"/>
  <c r="D9" i="6"/>
  <c r="D8" i="6"/>
  <c r="D44" i="6" s="1"/>
  <c r="D7" i="6"/>
  <c r="D6" i="6"/>
  <c r="D4" i="6"/>
  <c r="D96" i="5"/>
  <c r="D95" i="5"/>
  <c r="D94" i="5"/>
  <c r="H14" i="5"/>
  <c r="G14" i="5"/>
  <c r="F14" i="5"/>
  <c r="E14" i="5"/>
  <c r="D14" i="5"/>
  <c r="D4" i="5"/>
  <c r="H40" i="4"/>
  <c r="F40" i="4"/>
  <c r="D37" i="5" s="1"/>
  <c r="H34" i="4"/>
  <c r="G34" i="4"/>
  <c r="F34" i="4"/>
  <c r="E34" i="4"/>
  <c r="D34" i="4"/>
  <c r="H23" i="4"/>
  <c r="H24" i="4" s="1"/>
  <c r="G23" i="4"/>
  <c r="G24" i="4" s="1"/>
  <c r="F23" i="4"/>
  <c r="F24" i="4" s="1"/>
  <c r="E23" i="4"/>
  <c r="E24" i="4" s="1"/>
  <c r="D23" i="4"/>
  <c r="D24" i="4" s="1"/>
  <c r="H16" i="4"/>
  <c r="G16" i="4"/>
  <c r="F16" i="4"/>
  <c r="E16" i="4"/>
  <c r="D16" i="4"/>
  <c r="D4" i="4"/>
  <c r="D16" i="3"/>
  <c r="G13" i="3"/>
  <c r="G12" i="3"/>
  <c r="G11" i="3"/>
  <c r="G10" i="3"/>
  <c r="G9" i="3"/>
  <c r="G6" i="3"/>
  <c r="D6" i="3"/>
  <c r="D4" i="3"/>
  <c r="H88" i="2"/>
  <c r="G88" i="2"/>
  <c r="F88" i="2"/>
  <c r="E88" i="2"/>
  <c r="D88" i="2"/>
  <c r="H83" i="2"/>
  <c r="G83" i="2"/>
  <c r="F83" i="2"/>
  <c r="E83" i="2"/>
  <c r="D21" i="3" s="1"/>
  <c r="H78" i="2"/>
  <c r="G78" i="2"/>
  <c r="F78" i="2"/>
  <c r="E78" i="2"/>
  <c r="D78" i="2"/>
  <c r="H73" i="2"/>
  <c r="G73" i="2"/>
  <c r="F73" i="2"/>
  <c r="E73" i="2"/>
  <c r="D73" i="2"/>
  <c r="H68" i="2"/>
  <c r="G68" i="2"/>
  <c r="F68" i="2"/>
  <c r="E68" i="2"/>
  <c r="D68" i="2"/>
  <c r="H63" i="2"/>
  <c r="G63" i="2"/>
  <c r="F63" i="2"/>
  <c r="E63" i="2"/>
  <c r="D63" i="2"/>
  <c r="H58" i="2"/>
  <c r="G58" i="2"/>
  <c r="F58" i="2"/>
  <c r="E58" i="2"/>
  <c r="D58" i="2"/>
  <c r="H53" i="2"/>
  <c r="G53" i="2"/>
  <c r="F53" i="2"/>
  <c r="E53" i="2"/>
  <c r="D53" i="2"/>
  <c r="D13" i="5" s="1"/>
  <c r="H48" i="2"/>
  <c r="G48" i="2"/>
  <c r="F48" i="2"/>
  <c r="E48" i="2"/>
  <c r="D48" i="2"/>
  <c r="D12" i="5" s="1"/>
  <c r="H43" i="2"/>
  <c r="G43" i="2"/>
  <c r="F43" i="2"/>
  <c r="E43" i="2"/>
  <c r="D43" i="2"/>
  <c r="D11" i="5" s="1"/>
  <c r="H38" i="2"/>
  <c r="G38" i="2"/>
  <c r="F38" i="2"/>
  <c r="E38" i="2"/>
  <c r="D38" i="2"/>
  <c r="D10" i="5" s="1"/>
  <c r="H33" i="2"/>
  <c r="G33" i="2"/>
  <c r="F33" i="2"/>
  <c r="E33" i="2"/>
  <c r="D33" i="2"/>
  <c r="D9" i="5" s="1"/>
  <c r="H28" i="2"/>
  <c r="G28" i="2"/>
  <c r="F28" i="2"/>
  <c r="E28" i="2"/>
  <c r="D28" i="2"/>
  <c r="D8" i="5" s="1"/>
  <c r="D19" i="2"/>
  <c r="D33" i="5" s="1"/>
  <c r="F4" i="2"/>
  <c r="D4" i="1"/>
  <c r="D45" i="8" l="1"/>
  <c r="D89" i="8" s="1"/>
  <c r="G87" i="8"/>
  <c r="G47" i="8"/>
  <c r="E87" i="8"/>
  <c r="E88" i="8" s="1"/>
  <c r="D20" i="6"/>
  <c r="F87" i="8"/>
  <c r="D13" i="6"/>
  <c r="D97" i="5"/>
  <c r="D98" i="5" s="1"/>
  <c r="D48" i="6"/>
  <c r="E47" i="8"/>
  <c r="E11" i="5"/>
  <c r="F11" i="5" s="1"/>
  <c r="F47" i="8"/>
  <c r="D15" i="5"/>
  <c r="D32" i="5" s="1"/>
  <c r="E57" i="8"/>
  <c r="E62" i="8" s="1"/>
  <c r="E13" i="3" s="1"/>
  <c r="F16" i="8"/>
  <c r="F49" i="8" s="1"/>
  <c r="D12" i="6"/>
  <c r="G45" i="8"/>
  <c r="D20" i="5"/>
  <c r="G21" i="6"/>
  <c r="D47" i="8"/>
  <c r="D14" i="6"/>
  <c r="F57" i="8"/>
  <c r="F62" i="8" s="1"/>
  <c r="F13" i="3" s="1"/>
  <c r="D82" i="5"/>
  <c r="D84" i="5" s="1"/>
  <c r="E13" i="5"/>
  <c r="D24" i="5"/>
  <c r="E10" i="5"/>
  <c r="D21" i="5"/>
  <c r="D61" i="5"/>
  <c r="D63" i="5" s="1"/>
  <c r="D23" i="5"/>
  <c r="E12" i="5"/>
  <c r="D75" i="5"/>
  <c r="D77" i="5" s="1"/>
  <c r="E9" i="5"/>
  <c r="E21" i="6"/>
  <c r="D16" i="8"/>
  <c r="D22" i="5"/>
  <c r="F21" i="6"/>
  <c r="E49" i="8"/>
  <c r="D57" i="8"/>
  <c r="D62" i="8" s="1"/>
  <c r="D13" i="3" s="1"/>
  <c r="D47" i="5"/>
  <c r="D49" i="5" s="1"/>
  <c r="D54" i="5"/>
  <c r="D56" i="5" s="1"/>
  <c r="E8" i="5"/>
  <c r="H21" i="6"/>
  <c r="G16" i="8"/>
  <c r="D68" i="5"/>
  <c r="D70" i="5" s="1"/>
  <c r="D19" i="5"/>
  <c r="E45" i="8"/>
  <c r="F45" i="8"/>
  <c r="G89" i="8" l="1"/>
  <c r="E89" i="8"/>
  <c r="F88" i="8"/>
  <c r="F89" i="8"/>
  <c r="D15" i="6"/>
  <c r="C15" i="7" s="1"/>
  <c r="F54" i="8"/>
  <c r="F59" i="8" s="1"/>
  <c r="F10" i="3" s="1"/>
  <c r="D54" i="8"/>
  <c r="D59" i="8" s="1"/>
  <c r="D10" i="3" s="1"/>
  <c r="E22" i="5"/>
  <c r="D25" i="5"/>
  <c r="D26" i="5" s="1"/>
  <c r="E54" i="8"/>
  <c r="E59" i="8" s="1"/>
  <c r="E10" i="3" s="1"/>
  <c r="D36" i="5"/>
  <c r="E37" i="5" s="1"/>
  <c r="D34" i="5"/>
  <c r="E23" i="5"/>
  <c r="E75" i="5"/>
  <c r="F12" i="5"/>
  <c r="E82" i="5"/>
  <c r="F13" i="5"/>
  <c r="E24" i="5"/>
  <c r="D50" i="8"/>
  <c r="D88" i="8"/>
  <c r="D49" i="8"/>
  <c r="D55" i="5"/>
  <c r="D48" i="5"/>
  <c r="D83" i="5"/>
  <c r="D76" i="5"/>
  <c r="D69" i="5"/>
  <c r="D62" i="5"/>
  <c r="E50" i="8"/>
  <c r="F9" i="5"/>
  <c r="E54" i="5"/>
  <c r="E20" i="5"/>
  <c r="G50" i="8"/>
  <c r="G88" i="8"/>
  <c r="G49" i="8"/>
  <c r="F55" i="8" s="1"/>
  <c r="F60" i="8" s="1"/>
  <c r="F11" i="3" s="1"/>
  <c r="F50" i="8"/>
  <c r="F10" i="5"/>
  <c r="E21" i="5"/>
  <c r="E61" i="5"/>
  <c r="G11" i="5"/>
  <c r="F22" i="5"/>
  <c r="E15" i="5"/>
  <c r="F8" i="5"/>
  <c r="E47" i="5"/>
  <c r="E19" i="5"/>
  <c r="E68" i="5"/>
  <c r="C14" i="7" l="1"/>
  <c r="C11" i="7"/>
  <c r="G24" i="6"/>
  <c r="F24" i="6"/>
  <c r="C13" i="7"/>
  <c r="E24" i="6"/>
  <c r="C12" i="7"/>
  <c r="D15" i="3"/>
  <c r="C10" i="7"/>
  <c r="D24" i="6"/>
  <c r="H24" i="6"/>
  <c r="C16" i="7"/>
  <c r="D38" i="5"/>
  <c r="D57" i="5" s="1"/>
  <c r="D58" i="5" s="1"/>
  <c r="D55" i="8"/>
  <c r="D60" i="8" s="1"/>
  <c r="D11" i="3" s="1"/>
  <c r="H11" i="5"/>
  <c r="G22" i="5"/>
  <c r="F21" i="5"/>
  <c r="F61" i="5"/>
  <c r="G10" i="5"/>
  <c r="F54" i="5"/>
  <c r="F20" i="5"/>
  <c r="G9" i="5"/>
  <c r="G13" i="5"/>
  <c r="F24" i="5"/>
  <c r="F82" i="5"/>
  <c r="F68" i="5"/>
  <c r="E56" i="8"/>
  <c r="E61" i="8" s="1"/>
  <c r="E12" i="3" s="1"/>
  <c r="D56" i="8"/>
  <c r="D61" i="8" s="1"/>
  <c r="D12" i="3" s="1"/>
  <c r="F56" i="8"/>
  <c r="F61" i="8" s="1"/>
  <c r="F12" i="3" s="1"/>
  <c r="D29" i="5"/>
  <c r="D30" i="5" s="1"/>
  <c r="D41" i="5"/>
  <c r="D27" i="5"/>
  <c r="E55" i="8"/>
  <c r="E60" i="8" s="1"/>
  <c r="E11" i="3" s="1"/>
  <c r="F15" i="5"/>
  <c r="G8" i="5"/>
  <c r="F19" i="5"/>
  <c r="F47" i="5"/>
  <c r="F75" i="5"/>
  <c r="G12" i="5"/>
  <c r="F23" i="5"/>
  <c r="E33" i="5"/>
  <c r="E36" i="5"/>
  <c r="E25" i="5"/>
  <c r="E32" i="5"/>
  <c r="D71" i="5" l="1"/>
  <c r="D72" i="5" s="1"/>
  <c r="D78" i="5"/>
  <c r="D79" i="5" s="1"/>
  <c r="D64" i="5"/>
  <c r="D65" i="5" s="1"/>
  <c r="D85" i="5"/>
  <c r="D86" i="5" s="1"/>
  <c r="D50" i="5"/>
  <c r="D51" i="5" s="1"/>
  <c r="D40" i="5"/>
  <c r="D22" i="6" s="1"/>
  <c r="G68" i="5"/>
  <c r="H12" i="5"/>
  <c r="G23" i="5"/>
  <c r="G75" i="5"/>
  <c r="H22" i="5"/>
  <c r="G24" i="5"/>
  <c r="H13" i="5"/>
  <c r="G82" i="5"/>
  <c r="G54" i="5"/>
  <c r="G20" i="5"/>
  <c r="H9" i="5"/>
  <c r="E48" i="5"/>
  <c r="E83" i="5"/>
  <c r="E76" i="5"/>
  <c r="E69" i="5"/>
  <c r="E62" i="5"/>
  <c r="E55" i="5"/>
  <c r="H8" i="5"/>
  <c r="G19" i="5"/>
  <c r="G47" i="5"/>
  <c r="G15" i="5"/>
  <c r="F37" i="5"/>
  <c r="E38" i="5"/>
  <c r="F36" i="5"/>
  <c r="F25" i="5"/>
  <c r="F32" i="5"/>
  <c r="F33" i="5"/>
  <c r="E26" i="5"/>
  <c r="E70" i="5"/>
  <c r="E63" i="5"/>
  <c r="E56" i="5"/>
  <c r="E49" i="5"/>
  <c r="E34" i="5"/>
  <c r="E84" i="5"/>
  <c r="E77" i="5"/>
  <c r="G61" i="5"/>
  <c r="G21" i="5"/>
  <c r="H10" i="5"/>
  <c r="D90" i="5" l="1"/>
  <c r="D99" i="5"/>
  <c r="D23" i="6" s="1"/>
  <c r="D25" i="6" s="1"/>
  <c r="E41" i="5"/>
  <c r="E27" i="5"/>
  <c r="E29" i="5"/>
  <c r="E30" i="5" s="1"/>
  <c r="E40" i="5" s="1"/>
  <c r="H54" i="5"/>
  <c r="H20" i="5"/>
  <c r="G32" i="5"/>
  <c r="G33" i="5"/>
  <c r="G36" i="5"/>
  <c r="G25" i="5"/>
  <c r="H19" i="5"/>
  <c r="H47" i="5"/>
  <c r="H15" i="5"/>
  <c r="F63" i="5"/>
  <c r="F56" i="5"/>
  <c r="F49" i="5"/>
  <c r="F34" i="5"/>
  <c r="F84" i="5"/>
  <c r="F77" i="5"/>
  <c r="F70" i="5"/>
  <c r="H68" i="5"/>
  <c r="F83" i="5"/>
  <c r="F76" i="5"/>
  <c r="F69" i="5"/>
  <c r="F62" i="5"/>
  <c r="F55" i="5"/>
  <c r="F48" i="5"/>
  <c r="F26" i="5"/>
  <c r="F38" i="5"/>
  <c r="G37" i="5"/>
  <c r="E85" i="5"/>
  <c r="E86" i="5" s="1"/>
  <c r="E78" i="5"/>
  <c r="E79" i="5" s="1"/>
  <c r="E71" i="5"/>
  <c r="E72" i="5" s="1"/>
  <c r="E64" i="5"/>
  <c r="E65" i="5" s="1"/>
  <c r="E57" i="5"/>
  <c r="E58" i="5" s="1"/>
  <c r="E50" i="5"/>
  <c r="E51" i="5" s="1"/>
  <c r="H23" i="5"/>
  <c r="H75" i="5"/>
  <c r="H61" i="5"/>
  <c r="H21" i="5"/>
  <c r="H24" i="5"/>
  <c r="H82" i="5"/>
  <c r="E22" i="6" l="1"/>
  <c r="E23" i="6" s="1"/>
  <c r="E25" i="6" s="1"/>
  <c r="D22" i="3"/>
  <c r="E90" i="5"/>
  <c r="F85" i="5"/>
  <c r="F86" i="5" s="1"/>
  <c r="F78" i="5"/>
  <c r="F79" i="5" s="1"/>
  <c r="F71" i="5"/>
  <c r="F72" i="5" s="1"/>
  <c r="F64" i="5"/>
  <c r="F65" i="5" s="1"/>
  <c r="F50" i="5"/>
  <c r="F51" i="5" s="1"/>
  <c r="F57" i="5"/>
  <c r="F58" i="5" s="1"/>
  <c r="F41" i="5"/>
  <c r="F29" i="5"/>
  <c r="F30" i="5" s="1"/>
  <c r="F40" i="5" s="1"/>
  <c r="F27" i="5"/>
  <c r="G38" i="5"/>
  <c r="H37" i="5"/>
  <c r="G26" i="5"/>
  <c r="G56" i="5"/>
  <c r="G49" i="5"/>
  <c r="G34" i="5"/>
  <c r="G77" i="5"/>
  <c r="G84" i="5"/>
  <c r="G70" i="5"/>
  <c r="G63" i="5"/>
  <c r="D20" i="3"/>
  <c r="H32" i="5"/>
  <c r="H36" i="5"/>
  <c r="H25" i="5"/>
  <c r="H26" i="5" s="1"/>
  <c r="H33" i="5"/>
  <c r="D29" i="6"/>
  <c r="G83" i="5"/>
  <c r="G76" i="5"/>
  <c r="G69" i="5"/>
  <c r="G55" i="5"/>
  <c r="G48" i="5"/>
  <c r="G62" i="5"/>
  <c r="F22" i="6" l="1"/>
  <c r="F23" i="6" s="1"/>
  <c r="F25" i="6" s="1"/>
  <c r="F90" i="5"/>
  <c r="G41" i="5"/>
  <c r="G27" i="5"/>
  <c r="G29" i="5"/>
  <c r="G30" i="5" s="1"/>
  <c r="G40" i="5" s="1"/>
  <c r="H27" i="5"/>
  <c r="H29" i="5"/>
  <c r="H30" i="5" s="1"/>
  <c r="H41" i="5"/>
  <c r="G78" i="5"/>
  <c r="G79" i="5" s="1"/>
  <c r="G71" i="5"/>
  <c r="G72" i="5" s="1"/>
  <c r="G64" i="5"/>
  <c r="G65" i="5" s="1"/>
  <c r="G57" i="5"/>
  <c r="G58" i="5" s="1"/>
  <c r="G50" i="5"/>
  <c r="G51" i="5" s="1"/>
  <c r="G85" i="5"/>
  <c r="G86" i="5" s="1"/>
  <c r="H49" i="5"/>
  <c r="H34" i="5"/>
  <c r="H84" i="5"/>
  <c r="H70" i="5"/>
  <c r="H77" i="5"/>
  <c r="H63" i="5"/>
  <c r="H56" i="5"/>
  <c r="H38" i="5"/>
  <c r="D33" i="6"/>
  <c r="H83" i="5"/>
  <c r="H76" i="5"/>
  <c r="H69" i="5"/>
  <c r="H48" i="5"/>
  <c r="H62" i="5"/>
  <c r="H55" i="5"/>
  <c r="D31" i="6"/>
  <c r="D32" i="6" s="1"/>
  <c r="G22" i="6" l="1"/>
  <c r="G23" i="6" s="1"/>
  <c r="G25" i="6" s="1"/>
  <c r="G90" i="5"/>
  <c r="H40" i="5"/>
  <c r="D30" i="6"/>
  <c r="D34" i="6" s="1"/>
  <c r="D35" i="6" s="1"/>
  <c r="D37" i="6" s="1"/>
  <c r="H71" i="5"/>
  <c r="H72" i="5" s="1"/>
  <c r="H64" i="5"/>
  <c r="H65" i="5" s="1"/>
  <c r="H57" i="5"/>
  <c r="H58" i="5" s="1"/>
  <c r="H50" i="5"/>
  <c r="H51" i="5" s="1"/>
  <c r="H85" i="5"/>
  <c r="H86" i="5" s="1"/>
  <c r="H78" i="5"/>
  <c r="H79" i="5" s="1"/>
  <c r="H22" i="6" l="1"/>
  <c r="H23" i="6" s="1"/>
  <c r="H90" i="5"/>
  <c r="H25" i="6" l="1"/>
  <c r="D38" i="6" s="1"/>
  <c r="G16" i="7"/>
  <c r="F11" i="7"/>
  <c r="F12" i="7"/>
  <c r="D12" i="7"/>
  <c r="H11" i="7"/>
  <c r="E15" i="7"/>
  <c r="H13" i="7"/>
  <c r="F15" i="7"/>
  <c r="D11" i="7"/>
  <c r="H16" i="7"/>
  <c r="G10" i="7"/>
  <c r="F9" i="3" s="1"/>
  <c r="H10" i="7"/>
  <c r="G12" i="7"/>
  <c r="E12" i="7"/>
  <c r="F10" i="7"/>
  <c r="H14" i="7"/>
  <c r="F14" i="7"/>
  <c r="D10" i="7"/>
  <c r="F13" i="7"/>
  <c r="D15" i="7"/>
  <c r="E11" i="7"/>
  <c r="E13" i="7"/>
  <c r="G13" i="7"/>
  <c r="G11" i="7"/>
  <c r="H12" i="7"/>
  <c r="G14" i="7"/>
  <c r="D16" i="7"/>
  <c r="D13" i="7"/>
  <c r="G15" i="7"/>
  <c r="E16" i="7"/>
  <c r="D9" i="3" s="1"/>
  <c r="F16" i="7"/>
  <c r="H15" i="7"/>
  <c r="D14" i="7"/>
  <c r="E10" i="7"/>
  <c r="E14" i="7"/>
  <c r="D22" i="7" l="1"/>
  <c r="D23" i="7" s="1"/>
  <c r="D23" i="3" s="1"/>
  <c r="D39" i="6"/>
  <c r="D49" i="6" l="1"/>
  <c r="D51" i="6" s="1"/>
  <c r="D40" i="6"/>
  <c r="D17" i="3" s="1"/>
  <c r="D52" i="6" l="1"/>
  <c r="D18" i="3" s="1"/>
  <c r="E9" i="3"/>
  <c r="D19" i="7"/>
</calcChain>
</file>

<file path=xl/sharedStrings.xml><?xml version="1.0" encoding="utf-8"?>
<sst xmlns="http://schemas.openxmlformats.org/spreadsheetml/2006/main" count="578" uniqueCount="390">
  <si>
    <t>Alphabet valuation teaching model</t>
  </si>
  <si>
    <t>Case selected</t>
  </si>
  <si>
    <t>USD millions, except per-share values. Financials through June 30, 2026; valuation October 17, 2026.</t>
  </si>
  <si>
    <t>Prices are October 16 closes from Google Finance. Exchange-direct verification was unavailable.</t>
  </si>
  <si>
    <t>Blue = sourced numeric input. Yellow = editable key driver. Black = formula. Green = cross-sheet formula.</t>
  </si>
  <si>
    <t>One forecast build responds to the Base / Bull / Bear selector in Assumptions!D4.</t>
  </si>
  <si>
    <t>Low / active / high DCF values are discount-rate and growth bounds for the selected operating case.</t>
  </si>
  <si>
    <t>SBC stays in EBIT and is never added back. D&amp;A and capex are modeled separately.</t>
  </si>
  <si>
    <t>The stub uses the remaining share of projected H2 cash flow; annual flows use mid-year discounting.</t>
  </si>
  <si>
    <t>Terminal capex is normalized to D&amp;A × the editable ratio. This dominates value and is not guidance.</t>
  </si>
  <si>
    <t>Search, YouTube, Network and subscriptions EBIT margins are allocations, not disclosed segment profits.</t>
  </si>
  <si>
    <t>Cash bridge uses June 30 balances with no July–October roll-forward. Equity stakes are treated explicitly.</t>
  </si>
  <si>
    <t>Preferred stock is deducted at liquidation preference; conversion and capped calls are not option-priced.</t>
  </si>
  <si>
    <t>Non-marketable investments are excluded in Base. Deferred tax and accrued legal claims are deducted.</t>
  </si>
  <si>
    <t>Peer EV/EBITD = EV / (EBIT + PPE depreciation). This verified-input comparison replaces EBITDA; all intangible amortization stays expensed.</t>
  </si>
  <si>
    <t>Forward P/E uses CY2027 adjusted consensus EPS dated Oct 16. Microsoft is calendarized from FY2027 / FY2028.</t>
  </si>
  <si>
    <t>Teaching model, not investment advice. Market and scenario assumptions require presenter review.</t>
  </si>
  <si>
    <t>Sources (IDs also appear beside the inputs)</t>
  </si>
  <si>
    <t>S1 — Alphabet FY2025 10-K, income / cash flow / Note 2</t>
  </si>
  <si>
    <t>https://www.sec.gov/Archives/edgar/data/1652044/000165204426000018/goog-20251231.htm</t>
  </si>
  <si>
    <t>S2 — Alphabet H1 2026 10-Q, June 30, 2026, Notes 2, 6, 11</t>
  </si>
  <si>
    <t>https://www.sec.gov/Archives/edgar/data/1652044/000165204426000071/goog-20260630.htm</t>
  </si>
  <si>
    <t>S3 — Alphabet Q2 2026 call, July 22, 2026, CFO outlook</t>
  </si>
  <si>
    <t>https://alphabet2025ir.q4web.com/investor/events/event-details/2026/2026-Q2-Earnings-Call-2026-GgTAq7Is0z/default.aspx</t>
  </si>
  <si>
    <t>S4 — Microsoft FY2026 release, year ended June 30</t>
  </si>
  <si>
    <t>https://www.microsoft.com/en-us/investor/earnings/fy-2026-q4/press-release-webcast</t>
  </si>
  <si>
    <t>S5 — Meta Q2 2026 release, June 30, 2026</t>
  </si>
  <si>
    <t>https://investor.atmeta.com/investor-news/press-release-details/2026/Meta-Reports-Second-Quarter-2026-Results/</t>
  </si>
  <si>
    <t>S6 — Meta FY2025 release, December 31, 2025</t>
  </si>
  <si>
    <t>https://investor.atmeta.com/investor-news/press-release-details/2026/Meta-Reports-Fourth-Quarter-and-Full-Year-2025-Results/default.aspx</t>
  </si>
  <si>
    <t>S7 — Amazon Q2 2026 release, June 30, 2026</t>
  </si>
  <si>
    <t>https://ir.aboutamazon.com/news-release/news-release-details/2026/Amazon-com-Announces-Second-Quarter-Results/default.aspx</t>
  </si>
  <si>
    <t>S8 — Amazon FY2025 release, December 31, 2025</t>
  </si>
  <si>
    <t>https://ir.aboutamazon.com/news-release/news-release-details/2026/Amazon-com-Announces-Fourth-Quarter-Results/default.aspx</t>
  </si>
  <si>
    <t>S9 — Amazon Q2 2026 10-Q, debt Note 5</t>
  </si>
  <si>
    <t>https://www.sec.gov/Archives/edgar/data/1018724/000101872426000026/amzn-20260630.htm</t>
  </si>
  <si>
    <t>Q1 — GOOGL closing quote, October 16, 2026, Google Finance vendor display</t>
  </si>
  <si>
    <t>https://www.google.com/finance/quote/GOOGL:NASDAQ</t>
  </si>
  <si>
    <t>Q2 — MSFT closing quote, October 16, 2026, Google Finance vendor display</t>
  </si>
  <si>
    <t>https://www.google.com/finance/quote/MSFT:NASDAQ</t>
  </si>
  <si>
    <t>Q3 — META closing quote, October 16, 2026, Google Finance vendor display</t>
  </si>
  <si>
    <t>https://www.google.com/finance/quote/META:NASDAQ</t>
  </si>
  <si>
    <t>Q4 — AMZN closing quote, October 16, 2026, Google Finance vendor display</t>
  </si>
  <si>
    <t>https://www.google.com/finance/quote/AMZN:NASDAQ</t>
  </si>
  <si>
    <t>A1 — Author teaching assumptions, October 17, 2026; not company guidance</t>
  </si>
  <si>
    <t>valuation-notes.md</t>
  </si>
  <si>
    <t>F1 — GOOGL adjusted consensus EPS, updated October 16, 2026</t>
  </si>
  <si>
    <t>https://stockanalysis.com/stocks/googl/forecast/</t>
  </si>
  <si>
    <t>F2 — MSFT adjusted consensus EPS, updated October 16, 2026</t>
  </si>
  <si>
    <t>https://stockanalysis.com/stocks/msft/forecast/</t>
  </si>
  <si>
    <t>F3 — META adjusted consensus EPS, updated October 16, 2026</t>
  </si>
  <si>
    <t>https://stockanalysis.com/stocks/meta/forecast/</t>
  </si>
  <si>
    <t>F4 — AMZN adjusted consensus EPS, updated October 16, 2026</t>
  </si>
  <si>
    <t>https://stockanalysis.com/stocks/amzn/forecast/</t>
  </si>
  <si>
    <t>X1 — GOOGL SEC XBRL facts; filing dates restricted to October 17, 2026 or earlier</t>
  </si>
  <si>
    <t>https://data.sec.gov/api/xbrl/companyfacts/CIK0001652044.json</t>
  </si>
  <si>
    <t>X2 — MSFT SEC XBRL facts; filing dates restricted to October 17, 2026 or earlier</t>
  </si>
  <si>
    <t>https://data.sec.gov/api/xbrl/companyfacts/CIK0000789019.json</t>
  </si>
  <si>
    <t>X3 — META SEC XBRL facts; filing dates restricted to October 17, 2026 or earlier</t>
  </si>
  <si>
    <t>https://data.sec.gov/api/xbrl/companyfacts/CIK0001326801.json</t>
  </si>
  <si>
    <t>X4 — AMZN SEC XBRL facts; filing dates restricted to October 17, 2026 or earlier</t>
  </si>
  <si>
    <t>https://data.sec.gov/api/xbrl/companyfacts/CIK0001018724.json</t>
  </si>
  <si>
    <t>Assumptions</t>
  </si>
  <si>
    <t>1 Base / 2 Bull / 3 Bear. Change only this selector.</t>
  </si>
  <si>
    <t>Valuation date</t>
  </si>
  <si>
    <t>User requested date, America/Los_Angeles</t>
  </si>
  <si>
    <t>GOOGL closing price</t>
  </si>
  <si>
    <t>Q1: October 16, 2026 close. Vendor quote, not exchange-direct.</t>
  </si>
  <si>
    <t>Quote date</t>
  </si>
  <si>
    <t>Q1: last trading close before valuation date</t>
  </si>
  <si>
    <t>Risk-free rate assumption</t>
  </si>
  <si>
    <t>A1: rounded teaching assumption, not a verified current Treasury yield.</t>
  </si>
  <si>
    <t>Beta assumption</t>
  </si>
  <si>
    <t>A1: teaching beta, not a regression estimate.</t>
  </si>
  <si>
    <t>Equity risk premium assumption</t>
  </si>
  <si>
    <t>A1: teaching ERP, not a market fact.</t>
  </si>
  <si>
    <t>Pre-tax cost of debt proxy</t>
  </si>
  <si>
    <t>S2 Note 6: Q1 USD issue weighted coupon 4.80%; current yield may differ.</t>
  </si>
  <si>
    <t>Normalized tax rate</t>
  </si>
  <si>
    <t>A1: operating tax assumption; H1 GAAP tax includes investment gains.</t>
  </si>
  <si>
    <t>Terminal growth</t>
  </si>
  <si>
    <t>A1: perpetual nominal growth, independent of forecast growth.</t>
  </si>
  <si>
    <t>Terminal capex / D&amp;A</t>
  </si>
  <si>
    <t>A1: capex exceeds D&amp;A by 15% in steady state; normalized after AI buildout.</t>
  </si>
  <si>
    <t>Non-marketable stake realization</t>
  </si>
  <si>
    <t>A1: exclude unlisted investments; no double count of marketable securities.</t>
  </si>
  <si>
    <t>2026 capex guide low</t>
  </si>
  <si>
    <t>S3: July 22, 2026 CFO guidance, USD millions.</t>
  </si>
  <si>
    <t>2026 capex guide high</t>
  </si>
  <si>
    <t>2026 capex guidance midpoint</t>
  </si>
  <si>
    <t>Preferred cost proxy</t>
  </si>
  <si>
    <t>S2 Note 11: coupon rate, used as market yield proxy.</t>
  </si>
  <si>
    <t>WACC sensitivity step</t>
  </si>
  <si>
    <t>A1: 0.5 percentage point grid interval.</t>
  </si>
  <si>
    <t>Growth sensitivity step</t>
  </si>
  <si>
    <t>Forecast hedging gain assumption</t>
  </si>
  <si>
    <t>A1: no forecast gains/losses; known H1 actual remains in 2026.</t>
  </si>
  <si>
    <t>Forecast drivers</t>
  </si>
  <si>
    <t>2026E</t>
  </si>
  <si>
    <t>2027E</t>
  </si>
  <si>
    <t>2028E</t>
  </si>
  <si>
    <t>2029E</t>
  </si>
  <si>
    <t>2030E</t>
  </si>
  <si>
    <t>2026 revenue driver applies to H2 2025 comparable; later years apply to full year.</t>
  </si>
  <si>
    <t>Search growth — active</t>
  </si>
  <si>
    <t>A1 / S2: H1 Search grew 17.9%; gradual moderation.</t>
  </si>
  <si>
    <t>Base</t>
  </si>
  <si>
    <t>Bull</t>
  </si>
  <si>
    <t>Bear</t>
  </si>
  <si>
    <t>YouTube growth — active</t>
  </si>
  <si>
    <t>A1 / S2: H1 YouTube grew 11.8%; World Cup timing.</t>
  </si>
  <si>
    <t>Network growth — active</t>
  </si>
  <si>
    <t>A1 / S2: H1 Network contracted 2.3%.</t>
  </si>
  <si>
    <t>Subscriptions &amp; devices growth — active</t>
  </si>
  <si>
    <t>A1 / S2: H1 subscriptions/platforms/devices grew 17.2%.</t>
  </si>
  <si>
    <t>Cloud growth — active</t>
  </si>
  <si>
    <t>A1 / S2 / S3: H1 Cloud +73.1%; $513.9bn backlog, timing uncertain.</t>
  </si>
  <si>
    <t>Other Bets growth — active</t>
  </si>
  <si>
    <t>A1: speculative growth; does not separately value Waymo.</t>
  </si>
  <si>
    <t>Services EBIT margin — active</t>
  </si>
  <si>
    <t>A1 / S3: Q2 Services margin 41.8%; shared across four revenue categories.</t>
  </si>
  <si>
    <t>Cloud EBIT margin — active</t>
  </si>
  <si>
    <t>A1 / S3: Q2 Cloud margin 35.6%; third-party capacity pressure.</t>
  </si>
  <si>
    <t>Other Bets EBIT margin — active</t>
  </si>
  <si>
    <t>A1 / S1: substantial losses persist; revenue is small.</t>
  </si>
  <si>
    <t>Corporate cost / revenue — active</t>
  </si>
  <si>
    <t>A1 / S3: Q2 Alphabet-level loss $5.8bn, primarily shared AI R&amp;D.</t>
  </si>
  <si>
    <t>D&amp;A / revenue — active</t>
  </si>
  <si>
    <t>A1 / S2: H1 PPE depreciation $13.6bn; forward burden increases.</t>
  </si>
  <si>
    <t>Capex / revenue — active</t>
  </si>
  <si>
    <t>Guide $200bn</t>
  </si>
  <si>
    <t>A1 / S3: 2026 exact $200bn midpoint; 2027+ intensity assumptions.</t>
  </si>
  <si>
    <t>Trade NWC / revenue — active</t>
  </si>
  <si>
    <t>A1 / S2: narrow trade NWC definition; excludes tax and legal balances.</t>
  </si>
  <si>
    <t>Summary</t>
  </si>
  <si>
    <t>Closing price</t>
  </si>
  <si>
    <t>Value per common share</t>
  </si>
  <si>
    <t>Low</t>
  </si>
  <si>
    <t>Active / median</t>
  </si>
  <si>
    <t>High</t>
  </si>
  <si>
    <t>Market</t>
  </si>
  <si>
    <t>DCF</t>
  </si>
  <si>
    <t>P/E (GAAP TTM)</t>
  </si>
  <si>
    <t>EV / Sales</t>
  </si>
  <si>
    <t>EV / EBITD</t>
  </si>
  <si>
    <t>Forward P/E (CY2027 adjusted)</t>
  </si>
  <si>
    <t>Selected-case WACC</t>
  </si>
  <si>
    <t>Terminal value / EV</t>
  </si>
  <si>
    <t>DCF vs closing price</t>
  </si>
  <si>
    <t>2030 revenue (USD millions)</t>
  </si>
  <si>
    <t>2027 capex intensity</t>
  </si>
  <si>
    <t>2027 FCF (USD millions)</t>
  </si>
  <si>
    <t>Required / modeled terminal FCF</t>
  </si>
  <si>
    <t>DCF bounds: WACC ±1.5 percentage points and growth ±0.5 points, for the selected operating case.</t>
  </si>
  <si>
    <t>Forward P/E uses CY2027 adjusted consensus, with MSFT calendarized. GAAP P/E includes investment gains.</t>
  </si>
  <si>
    <t>EV/EBITD = EV / (EBIT + PPE depreciation), using reported inputs. It replaces EBITDA; all intangible amortization remains expensed.</t>
  </si>
  <si>
    <t>Historicals</t>
  </si>
  <si>
    <t>Reported results</t>
  </si>
  <si>
    <t>FY2023</t>
  </si>
  <si>
    <t>FY2024</t>
  </si>
  <si>
    <t>FY2025</t>
  </si>
  <si>
    <t>H1 2025</t>
  </si>
  <si>
    <t>H1 2026</t>
  </si>
  <si>
    <t>S1 annual; S2 interim. USD millions. Interim figures unaudited.</t>
  </si>
  <si>
    <t>Search &amp; other</t>
  </si>
  <si>
    <t>S1 annual; S2 H1. Reported, USD millions except EPS.</t>
  </si>
  <si>
    <t>YouTube ads</t>
  </si>
  <si>
    <t>Network</t>
  </si>
  <si>
    <t>Subscriptions, platforms &amp; devices</t>
  </si>
  <si>
    <t>Google Cloud</t>
  </si>
  <si>
    <t>Other Bets</t>
  </si>
  <si>
    <t>Hedging gains / (losses)</t>
  </si>
  <si>
    <t>Reported revenue</t>
  </si>
  <si>
    <t>Revenue reconciliation difference</t>
  </si>
  <si>
    <t>Cost of revenue</t>
  </si>
  <si>
    <t>Research &amp; development</t>
  </si>
  <si>
    <t>Sales &amp; marketing</t>
  </si>
  <si>
    <t>General &amp; administrative</t>
  </si>
  <si>
    <t>Reported operating income</t>
  </si>
  <si>
    <t>Computed operating income</t>
  </si>
  <si>
    <t>Operating income difference</t>
  </si>
  <si>
    <t>Income before tax</t>
  </si>
  <si>
    <t>Income tax provision</t>
  </si>
  <si>
    <t>Net income</t>
  </si>
  <si>
    <t>Net income available to common</t>
  </si>
  <si>
    <t>Diluted EPS</t>
  </si>
  <si>
    <t>PPE depreciation</t>
  </si>
  <si>
    <t>Stock-based compensation</t>
  </si>
  <si>
    <t>Cash from operations</t>
  </si>
  <si>
    <t>Purchases of PPE (positive outflow)</t>
  </si>
  <si>
    <t>Computed operating cash flow less capex</t>
  </si>
  <si>
    <t>Accounts receivable</t>
  </si>
  <si>
    <t>S2 balance sheet / notes; point in time. Blank = not collected.</t>
  </si>
  <si>
    <t>Inventory</t>
  </si>
  <si>
    <t>Accounts payable</t>
  </si>
  <si>
    <t>Deferred revenue, current</t>
  </si>
  <si>
    <t>Computed trade NWC (AR + inventory − AP − deferred revenue)</t>
  </si>
  <si>
    <t>Cash, equivalents &amp; marketable securities</t>
  </si>
  <si>
    <t>Long-term debt, carrying value</t>
  </si>
  <si>
    <t>Current portion of notes</t>
  </si>
  <si>
    <t>Fair value of notes</t>
  </si>
  <si>
    <t>Other long-term debt, face value</t>
  </si>
  <si>
    <t>Common shares outstanding (all classes)</t>
  </si>
  <si>
    <t>Preferred depositary shares, millions</t>
  </si>
  <si>
    <t>Preference per depositary share, USD</t>
  </si>
  <si>
    <t>Non-marketable securities</t>
  </si>
  <si>
    <t>Deferred income tax liability</t>
  </si>
  <si>
    <t>Accrued legal/regulatory claims</t>
  </si>
  <si>
    <t>H1 intangible amortization</t>
  </si>
  <si>
    <t>Google Cloud backlog</t>
  </si>
  <si>
    <t>Projections</t>
  </si>
  <si>
    <t>USD millions</t>
  </si>
  <si>
    <t>Subscriptions &amp; devices</t>
  </si>
  <si>
    <t>Total revenue</t>
  </si>
  <si>
    <t>Search &amp; other EBIT</t>
  </si>
  <si>
    <t>YouTube ads EBIT</t>
  </si>
  <si>
    <t>Network EBIT</t>
  </si>
  <si>
    <t>Subscriptions &amp; devices EBIT</t>
  </si>
  <si>
    <t>Google Cloud EBIT</t>
  </si>
  <si>
    <t>Other Bets EBIT</t>
  </si>
  <si>
    <t>Alphabet-level costs</t>
  </si>
  <si>
    <t>Operating income</t>
  </si>
  <si>
    <t>Operating margin</t>
  </si>
  <si>
    <t>Normalized operating tax</t>
  </si>
  <si>
    <t>NOPAT</t>
  </si>
  <si>
    <t>D&amp;A</t>
  </si>
  <si>
    <t>Cash capex</t>
  </si>
  <si>
    <t>Capex / revenue</t>
  </si>
  <si>
    <t>Ending trade NWC</t>
  </si>
  <si>
    <t>Beginning trade NWC</t>
  </si>
  <si>
    <t>Change in trade NWC</t>
  </si>
  <si>
    <t>Unlevered free cash flow</t>
  </si>
  <si>
    <t>EBITDA (forecast)</t>
  </si>
  <si>
    <t>D&amp;A and capex allocations are teaching assumptions. The capex test holds revenue and D&amp;A drivers fixed.</t>
  </si>
  <si>
    <t>Search &amp; other cash-flow allocation</t>
  </si>
  <si>
    <t>Revenue allocation weight</t>
  </si>
  <si>
    <t>Allocated D&amp;A</t>
  </si>
  <si>
    <t>Allocated capex</t>
  </si>
  <si>
    <t>Allocated trade ΔNWC</t>
  </si>
  <si>
    <t>Allocated unlevered cash flow</t>
  </si>
  <si>
    <t>YouTube ads cash-flow allocation</t>
  </si>
  <si>
    <t>Network cash-flow allocation</t>
  </si>
  <si>
    <t>Subscriptions &amp; devices cash-flow allocation</t>
  </si>
  <si>
    <t>Google Cloud cash-flow allocation</t>
  </si>
  <si>
    <t>Other Bets cash-flow allocation</t>
  </si>
  <si>
    <t>Allocation reconciliation difference</t>
  </si>
  <si>
    <t>2026 stub construction</t>
  </si>
  <si>
    <t>H1 normalized NOPAT</t>
  </si>
  <si>
    <t>H1 D&amp;A</t>
  </si>
  <si>
    <t>H1 cash capex</t>
  </si>
  <si>
    <t>H1 trade NWC change</t>
  </si>
  <si>
    <t>H1 normalized unlevered FCF</t>
  </si>
  <si>
    <t>Projected H2 unlevered FCF</t>
  </si>
  <si>
    <t>H1 normalized unlevered FCF is derived with the assumed operating tax rate. It is not reported free cash flow.</t>
  </si>
  <si>
    <t>Common equity market value</t>
  </si>
  <si>
    <t>Debt market value proxy</t>
  </si>
  <si>
    <t>Preferred market value proxy</t>
  </si>
  <si>
    <t>CAPM cost of common equity</t>
  </si>
  <si>
    <t>After-tax debt cost</t>
  </si>
  <si>
    <t>Preferred cost</t>
  </si>
  <si>
    <t>Common equity weight</t>
  </si>
  <si>
    <t>Debt weight</t>
  </si>
  <si>
    <t>Preferred weight</t>
  </si>
  <si>
    <t>WACC</t>
  </si>
  <si>
    <t>Cash-flow discounting</t>
  </si>
  <si>
    <t>2026 stub</t>
  </si>
  <si>
    <t>Period end (exclusive)</t>
  </si>
  <si>
    <t>Period start</t>
  </si>
  <si>
    <t>Remaining years</t>
  </si>
  <si>
    <t>Midpoint discount time</t>
  </si>
  <si>
    <t>Full-year forecast FCF</t>
  </si>
  <si>
    <t>Cash flow valued</t>
  </si>
  <si>
    <t>Discount factor</t>
  </si>
  <si>
    <t>Present value of cash flow</t>
  </si>
  <si>
    <t>2031 revenue</t>
  </si>
  <si>
    <t>2031 NOPAT</t>
  </si>
  <si>
    <t>2031 D&amp;A</t>
  </si>
  <si>
    <t>2031 normalized capex</t>
  </si>
  <si>
    <t>2031 change in trade NWC</t>
  </si>
  <si>
    <t>Normalized terminal FCF</t>
  </si>
  <si>
    <t>Terminal value at end 2030</t>
  </si>
  <si>
    <t>Terminal discount time</t>
  </si>
  <si>
    <t>Present value of terminal value</t>
  </si>
  <si>
    <t>Present value of explicit FCF</t>
  </si>
  <si>
    <t>Enterprise value</t>
  </si>
  <si>
    <t>Terminal PV / enterprise value</t>
  </si>
  <si>
    <t>Cash and marketable securities</t>
  </si>
  <si>
    <t>Debt carrying value deduction</t>
  </si>
  <si>
    <t>Preferred preference deduction</t>
  </si>
  <si>
    <t>Recognized non-marketable stakes</t>
  </si>
  <si>
    <t>Deferred tax liability deduction</t>
  </si>
  <si>
    <t>Accrued legal claims deduction</t>
  </si>
  <si>
    <t>Net equity bridge adjustment</t>
  </si>
  <si>
    <t>Common equity value</t>
  </si>
  <si>
    <t>Common shares, millions</t>
  </si>
  <si>
    <t>Return vs closing price</t>
  </si>
  <si>
    <t>June balance sheet is held constant to the valuation date. Preferred conversion and equity-tax timing are simplified.</t>
  </si>
  <si>
    <t>Sensitivity</t>
  </si>
  <si>
    <t>WACC rows and perpetual growth columns. Same selected operating case; normalized terminal capex in every cell.</t>
  </si>
  <si>
    <t>WACC / terminal growth</t>
  </si>
  <si>
    <t>Grid center minus DCF</t>
  </si>
  <si>
    <t>Price</t>
  </si>
  <si>
    <t>Required terminal FCF at base WACC</t>
  </si>
  <si>
    <t>Multiples</t>
  </si>
  <si>
    <t>Peer inputs</t>
  </si>
  <si>
    <t>GOOGL</t>
  </si>
  <si>
    <t>MSFT</t>
  </si>
  <si>
    <t>META</t>
  </si>
  <si>
    <t>AMZN</t>
  </si>
  <si>
    <t>Quotes 2026-10-16; financials TTM through 2026-06-30. USD millions.</t>
  </si>
  <si>
    <t>Q1 / Q2 / Q3 / Q4. Google Finance vendor displays; exchange-direct unavailable.</t>
  </si>
  <si>
    <t>S2 all Alphabet classes; S4 Microsoft period end; S5 Meta Q2 basic weighted-average proxy; S7 Amazon period end.</t>
  </si>
  <si>
    <t>Equity market value proxy</t>
  </si>
  <si>
    <t>Cash &amp; equivalents</t>
  </si>
  <si>
    <t>S2 / S4 / S5 / S7 balance sheets, 2026-06-30.</t>
  </si>
  <si>
    <t>Marketable securities</t>
  </si>
  <si>
    <t>Debt non-current</t>
  </si>
  <si>
    <t>S2 / S4 / S5 / S9 balance sheets. Excludes leases.</t>
  </si>
  <si>
    <t>Debt current</t>
  </si>
  <si>
    <t>S2 / S4 / S5 no separate current debt disclosed / S9 Note 5.</t>
  </si>
  <si>
    <t>Preferred liquidation preference</t>
  </si>
  <si>
    <t>S2 mandatory convertible preference; S4 / S5 / S7 no preferred claim reported.</t>
  </si>
  <si>
    <t>Enterprise value (excludes leases)</t>
  </si>
  <si>
    <t>FY2025 revenue</t>
  </si>
  <si>
    <t>S1 / S6 / S8 calendar 2025. Microsoft direct TTM input below.</t>
  </si>
  <si>
    <t>H1 2025 revenue</t>
  </si>
  <si>
    <t>S2 / S5 / S7, matched prior six months.</t>
  </si>
  <si>
    <t>H1 2026 revenue</t>
  </si>
  <si>
    <t>S2 / S5 / S7, six months ended June 30.</t>
  </si>
  <si>
    <t>TTM revenue</t>
  </si>
  <si>
    <t>FY2025 operating income</t>
  </si>
  <si>
    <t>S1 / S6 / S8.</t>
  </si>
  <si>
    <t>H1 2025 operating income</t>
  </si>
  <si>
    <t>S2 / S5 / S7.</t>
  </si>
  <si>
    <t>H1 2026 operating income</t>
  </si>
  <si>
    <t>TTM EBIT</t>
  </si>
  <si>
    <t>FY2025 common net income</t>
  </si>
  <si>
    <t>S1 / S6 / S8, GAAP including investment and tax effects.</t>
  </si>
  <si>
    <t>H1 2025 common net income</t>
  </si>
  <si>
    <t>H1 2026 common net income</t>
  </si>
  <si>
    <t>S2 common earnings after preferred dividends / S5 / S7.</t>
  </si>
  <si>
    <t>TTM common net income</t>
  </si>
  <si>
    <t>FY2025 PPE depreciation</t>
  </si>
  <si>
    <t>X1 / X3 / X4: us-gaap:Depreciation, calendar FY2025.</t>
  </si>
  <si>
    <t>H1 2025 PPE depreciation</t>
  </si>
  <si>
    <t>X1 / X3 / X4: us-gaap:Depreciation, six months ended June 30, 2025.</t>
  </si>
  <si>
    <t>H1 2026 PPE depreciation</t>
  </si>
  <si>
    <t>X1 / X3 / X4: us-gaap:Depreciation, six months ended June 30, 2026.</t>
  </si>
  <si>
    <t>TTM PPE depreciation</t>
  </si>
  <si>
    <t>Direct TTM revenue</t>
  </si>
  <si>
    <t>S4 year ended June 30, 2026.</t>
  </si>
  <si>
    <t>Direct TTM EBIT</t>
  </si>
  <si>
    <t>Direct TTM net income</t>
  </si>
  <si>
    <t>S4 GAAP, year ended June 30, 2026.</t>
  </si>
  <si>
    <t>Direct TTM PPE depreciation</t>
  </si>
  <si>
    <t>X2: us-gaap:Depreciation, July 1, 2025–June 30, 2026. Broad cash-flow addbacks are excluded.</t>
  </si>
  <si>
    <t>TTM EBITD (reported inputs)</t>
  </si>
  <si>
    <t>EBIT + PPE depreciation only for all. Reported source arithmetic in rows 35–43; bridge and policy in rows 84–95.</t>
  </si>
  <si>
    <t>P/E, TTM GAAP</t>
  </si>
  <si>
    <t>Price / CY2027 adjusted consensus EPS. See rows 72–82 for dated inputs and Microsoft calendarization.</t>
  </si>
  <si>
    <t>EV / TTM sales</t>
  </si>
  <si>
    <t>Peer valuation spread</t>
  </si>
  <si>
    <t>Median</t>
  </si>
  <si>
    <t>MSFT, META, AMZN only. GOOGL excluded from peer median.</t>
  </si>
  <si>
    <t>P/E</t>
  </si>
  <si>
    <t>EV/Sales</t>
  </si>
  <si>
    <t>EV/EBITD</t>
  </si>
  <si>
    <t>P/E implied common value / share</t>
  </si>
  <si>
    <t>EV/Sales implied value / share</t>
  </si>
  <si>
    <t>EV/EBITD implied value / share</t>
  </si>
  <si>
    <t>Forward P/E implied value / share</t>
  </si>
  <si>
    <t>GAAP P/E includes investment gains. EBITD adds only PPE depreciation for all issuers. Forward P/E uses adjusted consensus. Do not blend methods.</t>
  </si>
  <si>
    <t>EV excludes leases for all. EBITD retains intangible amortization expense; no SBC, content, operating-lease or other cash-flow addbacks.</t>
  </si>
  <si>
    <t>Forward earnings inputs</t>
  </si>
  <si>
    <t>F1–F4: S&amp;P Global adjusted non-GAAP EPS via Stock Analysis; updated 2026-10-16.</t>
  </si>
  <si>
    <t>FY2027 adjusted EPS</t>
  </si>
  <si>
    <t>FY2027 period end</t>
  </si>
  <si>
    <t>FY2028 adjusted EPS (MSFT)</t>
  </si>
  <si>
    <t>CY2027 weight from FY2027</t>
  </si>
  <si>
    <t>CY2027 adjusted EPS</t>
  </si>
  <si>
    <t>Consensus updated</t>
  </si>
  <si>
    <t>MSFT CY2027 EPS = 50% FY2027 + 50% FY2028. Equal-half approximation; not a quarterly consensus forecast.</t>
  </si>
  <si>
    <t>Adjusted consensus EPS is distinct from historical GAAP earnings. Provider adjustments are retained; the DCF still expenses SBC.</t>
  </si>
  <si>
    <t>TTM bridge: Jul 2025–Jun 2026</t>
  </si>
  <si>
    <t>X1–X4: reported PP&amp;E depreciation. Calendar issuers: FY2025 - H1 2025 + H1 2026. MSFT FY2026 matches TTM.</t>
  </si>
  <si>
    <t>TTM EBITD = EBIT + PPE dep.</t>
  </si>
  <si>
    <t>Headline reconciliation difference</t>
  </si>
  <si>
    <t>EBITD is deliberate: EBIT + PPE depreciation only. Intangible amortization stays expensed for every issuer; no estimates are introduced.</t>
  </si>
  <si>
    <t>No SBC, content, operating-lease asset or other cash-flow addbacks. EV excludes lease liabilities uniformly; lease mixes still differ.</t>
  </si>
  <si>
    <t>Full TTM intangible amortization is not verified for GOOGL / AMZN. EBITD replaces EBITDA by the presenter’s choice; it is not EBITDA.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</si>
</sst>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–&quot;"/>
    <numFmt numFmtId="165" formatCode="yyyy\-mm\-dd"/>
    <numFmt numFmtId="166" formatCode="\$0.00;\(\$0.00\);&quot;–&quot;"/>
    <numFmt numFmtId="167" formatCode="0.0%;\(0.0%\);&quot;–&quot;"/>
    <numFmt numFmtId="168" formatCode="0.00\x"/>
    <numFmt numFmtId="169" formatCode="0.000"/>
    <numFmt numFmtId="170" formatCode="0.000000"/>
  </numFmts>
  <fonts count="10">
    <font>
      <sz val="11"/>
      <name val="Carlito"/>
    </font>
    <font>
      <sz val="10"/>
      <color rgb="FF17212B"/>
      <name val="Arial"/>
    </font>
    <font>
      <b/>
      <sz val="15"/>
      <color rgb="FF19334D"/>
      <name val="Arial"/>
    </font>
    <font>
      <sz val="10"/>
      <color rgb="FF008000"/>
      <name val="Arial"/>
    </font>
    <font>
      <b/>
      <sz val="10"/>
      <color rgb="FF19334D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17212B"/>
      <name val="Arial"/>
    </font>
    <font>
      <b/>
      <sz val="10"/>
      <color rgb="FF0000FF"/>
      <name val="Arial"/>
    </font>
    <font>
      <b/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7EDF3"/>
      </patternFill>
    </fill>
    <fill>
      <patternFill patternType="solid">
        <fgColor rgb="FF19334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B8C5D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49" fontId="3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  <xf numFmtId="0" fontId="5" fillId="3" borderId="0" xfId="0" applyFont="1" applyFill="1"/>
    <xf numFmtId="164" fontId="5" fillId="3" borderId="0" xfId="0" applyNumberFormat="1" applyFont="1" applyFill="1"/>
    <xf numFmtId="164" fontId="6" fillId="0" borderId="0" xfId="0" applyNumberFormat="1" applyFont="1"/>
    <xf numFmtId="2" fontId="6" fillId="0" borderId="0" xfId="0" applyNumberFormat="1" applyFont="1"/>
    <xf numFmtId="2" fontId="1" fillId="0" borderId="0" xfId="0" applyNumberFormat="1" applyFont="1"/>
    <xf numFmtId="0" fontId="7" fillId="0" borderId="1" xfId="0" applyFont="1" applyBorder="1"/>
    <xf numFmtId="164" fontId="8" fillId="0" borderId="1" xfId="0" applyNumberFormat="1" applyFont="1" applyBorder="1"/>
    <xf numFmtId="164" fontId="7" fillId="0" borderId="1" xfId="0" applyNumberFormat="1" applyFont="1" applyBorder="1"/>
    <xf numFmtId="1" fontId="6" fillId="0" borderId="0" xfId="0" applyNumberFormat="1" applyFont="1"/>
    <xf numFmtId="164" fontId="6" fillId="4" borderId="0" xfId="0" applyNumberFormat="1" applyFont="1" applyFill="1"/>
    <xf numFmtId="165" fontId="6" fillId="4" borderId="0" xfId="0" applyNumberFormat="1" applyFont="1" applyFill="1"/>
    <xf numFmtId="166" fontId="6" fillId="4" borderId="0" xfId="0" applyNumberFormat="1" applyFont="1" applyFill="1"/>
    <xf numFmtId="167" fontId="6" fillId="4" borderId="0" xfId="0" applyNumberFormat="1" applyFont="1" applyFill="1"/>
    <xf numFmtId="168" fontId="6" fillId="4" borderId="0" xfId="0" applyNumberFormat="1" applyFont="1" applyFill="1"/>
    <xf numFmtId="167" fontId="1" fillId="0" borderId="0" xfId="0" applyNumberFormat="1" applyFont="1"/>
    <xf numFmtId="167" fontId="6" fillId="0" borderId="0" xfId="0" applyNumberFormat="1" applyFont="1"/>
    <xf numFmtId="167" fontId="7" fillId="0" borderId="1" xfId="0" applyNumberFormat="1" applyFont="1" applyBorder="1"/>
    <xf numFmtId="167" fontId="1" fillId="4" borderId="0" xfId="0" applyNumberFormat="1" applyFont="1" applyFill="1"/>
    <xf numFmtId="164" fontId="9" fillId="0" borderId="1" xfId="0" applyNumberFormat="1" applyFont="1" applyBorder="1"/>
    <xf numFmtId="167" fontId="3" fillId="0" borderId="0" xfId="0" applyNumberFormat="1" applyFont="1"/>
    <xf numFmtId="166" fontId="1" fillId="0" borderId="0" xfId="0" applyNumberFormat="1" applyFont="1"/>
    <xf numFmtId="165" fontId="6" fillId="0" borderId="0" xfId="0" applyNumberFormat="1" applyFont="1"/>
    <xf numFmtId="165" fontId="3" fillId="0" borderId="0" xfId="0" applyNumberFormat="1" applyFont="1"/>
    <xf numFmtId="165" fontId="1" fillId="0" borderId="0" xfId="0" applyNumberFormat="1" applyFont="1"/>
    <xf numFmtId="169" fontId="1" fillId="0" borderId="0" xfId="0" applyNumberFormat="1" applyFont="1"/>
    <xf numFmtId="169" fontId="3" fillId="0" borderId="0" xfId="0" applyNumberFormat="1" applyFont="1"/>
    <xf numFmtId="166" fontId="7" fillId="0" borderId="1" xfId="0" applyNumberFormat="1" applyFont="1" applyBorder="1"/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66" fontId="6" fillId="0" borderId="0" xfId="0" applyNumberFormat="1" applyFont="1"/>
    <xf numFmtId="168" fontId="1" fillId="0" borderId="0" xfId="0" applyNumberFormat="1" applyFont="1"/>
    <xf numFmtId="166" fontId="9" fillId="0" borderId="1" xfId="0" applyNumberFormat="1" applyFont="1" applyBorder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Value per share and closing price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Active / median</c:v>
          </c:tx>
          <c:invertIfNegative val="0"/>
          <c:cat>
            <c:strRef>
              <c:f>Summary!$C$9:$C$13</c:f>
              <c:strCache>
                <c:ptCount val="5"/>
                <c:pt idx="0">
                  <c:v>DCF</c:v>
                </c:pt>
                <c:pt idx="1">
                  <c:v>P/E (GAAP TTM)</c:v>
                </c:pt>
                <c:pt idx="2">
                  <c:v>EV / Sales</c:v>
                </c:pt>
                <c:pt idx="3">
                  <c:v>EV / EBITD</c:v>
                </c:pt>
                <c:pt idx="4">
                  <c:v>Forward P/E (CY2027 adjusted)</c:v>
                </c:pt>
              </c:strCache>
            </c:strRef>
          </c:cat>
          <c:val>
            <c:numRef>
              <c:f>Summary!$E$9:$E$13</c:f>
              <c:numCache>
                <c:formatCode>\$0.00;\(\$0.00\);"–"</c:formatCode>
                <c:ptCount val="5"/>
                <c:pt idx="0">
                  <c:v>212.65234753731744</c:v>
                </c:pt>
                <c:pt idx="1">
                  <c:v>528.72437643248361</c:v>
                </c:pt>
                <c:pt idx="2">
                  <c:v>293.83206968582164</c:v>
                </c:pt>
                <c:pt idx="3">
                  <c:v>273.29739170927058</c:v>
                </c:pt>
                <c:pt idx="4">
                  <c:v>364.83253588516749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5-45F9-A382-6F68BF58A694}"/>
            </c:ext>
          </c:extLst>
        </c:ser>
        <c:ser>
          <c:idx val="1"/>
          <c:order val="1"/>
          <c:tx>
            <c:v>Market</c:v>
          </c:tx>
          <c:invertIfNegative val="0"/>
          <c:cat>
            <c:strRef>
              <c:f>Summary!$C$9:$C$13</c:f>
              <c:strCache>
                <c:ptCount val="5"/>
                <c:pt idx="0">
                  <c:v>DCF</c:v>
                </c:pt>
                <c:pt idx="1">
                  <c:v>P/E (GAAP TTM)</c:v>
                </c:pt>
                <c:pt idx="2">
                  <c:v>EV / Sales</c:v>
                </c:pt>
                <c:pt idx="3">
                  <c:v>EV / EBITD</c:v>
                </c:pt>
                <c:pt idx="4">
                  <c:v>Forward P/E (CY2027 adjusted)</c:v>
                </c:pt>
              </c:strCache>
            </c:strRef>
          </c:cat>
          <c:val>
            <c:numRef>
              <c:f>Summary!$G$9:$G$13</c:f>
              <c:numCache>
                <c:formatCode>\$0.00;\(\$0.00\);"–"</c:formatCode>
                <c:ptCount val="5"/>
                <c:pt idx="0">
                  <c:v>340.59</c:v>
                </c:pt>
                <c:pt idx="1">
                  <c:v>340.59</c:v>
                </c:pt>
                <c:pt idx="2">
                  <c:v>340.59</c:v>
                </c:pt>
                <c:pt idx="3">
                  <c:v>340.59</c:v>
                </c:pt>
                <c:pt idx="4">
                  <c:v>340.59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5-45F9-A382-6F68BF58A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EBBC8"/>
  </sheetPr>
  <dimension ref="A1:L190"/>
  <sheetViews>
    <sheetView showGridLines="0" tabSelected="1" workbookViewId="0"/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0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30" customHeight="1">
      <c r="A6" s="1"/>
      <c r="B6" s="1"/>
      <c r="C6" s="42" t="s">
        <v>2</v>
      </c>
      <c r="D6" s="43"/>
      <c r="E6" s="43"/>
      <c r="F6" s="43"/>
      <c r="G6" s="43"/>
      <c r="H6" s="43"/>
      <c r="I6" s="42"/>
      <c r="J6" s="42"/>
      <c r="K6" s="1"/>
      <c r="L6" s="1"/>
    </row>
    <row r="7" spans="1:12" ht="19" customHeight="1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spans="1:12" ht="30" customHeight="1">
      <c r="A8" s="1"/>
      <c r="B8" s="1"/>
      <c r="C8" s="42" t="s">
        <v>3</v>
      </c>
      <c r="D8" s="43"/>
      <c r="E8" s="43"/>
      <c r="F8" s="43"/>
      <c r="G8" s="43"/>
      <c r="H8" s="43"/>
      <c r="I8" s="42"/>
      <c r="J8" s="42"/>
      <c r="K8" s="1"/>
      <c r="L8" s="1"/>
    </row>
    <row r="9" spans="1:12" ht="19" customHeight="1">
      <c r="A9" s="1"/>
      <c r="B9" s="1"/>
      <c r="C9" s="1"/>
      <c r="D9" s="2"/>
      <c r="E9" s="2"/>
      <c r="F9" s="2"/>
      <c r="G9" s="2"/>
      <c r="H9" s="2"/>
      <c r="I9" s="1"/>
      <c r="J9" s="1"/>
      <c r="K9" s="1"/>
      <c r="L9" s="1"/>
    </row>
    <row r="10" spans="1:12" ht="30" customHeight="1">
      <c r="A10" s="1"/>
      <c r="B10" s="1"/>
      <c r="C10" s="42" t="s">
        <v>4</v>
      </c>
      <c r="D10" s="43"/>
      <c r="E10" s="43"/>
      <c r="F10" s="43"/>
      <c r="G10" s="43"/>
      <c r="H10" s="43"/>
      <c r="I10" s="42"/>
      <c r="J10" s="42"/>
      <c r="K10" s="1"/>
      <c r="L10" s="1"/>
    </row>
    <row r="11" spans="1:12" ht="19" customHeight="1">
      <c r="A11" s="1"/>
      <c r="B11" s="1"/>
      <c r="C11" s="1"/>
      <c r="D11" s="2"/>
      <c r="E11" s="2"/>
      <c r="F11" s="2"/>
      <c r="G11" s="2"/>
      <c r="H11" s="2"/>
      <c r="I11" s="1"/>
      <c r="J11" s="1"/>
      <c r="K11" s="1"/>
      <c r="L11" s="1"/>
    </row>
    <row r="12" spans="1:12" ht="30" customHeight="1">
      <c r="A12" s="1"/>
      <c r="B12" s="1"/>
      <c r="C12" s="42" t="s">
        <v>5</v>
      </c>
      <c r="D12" s="43"/>
      <c r="E12" s="43"/>
      <c r="F12" s="43"/>
      <c r="G12" s="43"/>
      <c r="H12" s="43"/>
      <c r="I12" s="42"/>
      <c r="J12" s="42"/>
      <c r="K12" s="1"/>
      <c r="L12" s="1"/>
    </row>
    <row r="13" spans="1:12" ht="19" customHeight="1">
      <c r="A13" s="1"/>
      <c r="B13" s="1"/>
      <c r="C13" s="1"/>
      <c r="D13" s="2"/>
      <c r="E13" s="2"/>
      <c r="F13" s="2"/>
      <c r="G13" s="2"/>
      <c r="H13" s="2"/>
      <c r="I13" s="1"/>
      <c r="J13" s="1"/>
      <c r="K13" s="1"/>
      <c r="L13" s="1"/>
    </row>
    <row r="14" spans="1:12" ht="30" customHeight="1">
      <c r="A14" s="1"/>
      <c r="B14" s="1"/>
      <c r="C14" s="42" t="s">
        <v>6</v>
      </c>
      <c r="D14" s="43"/>
      <c r="E14" s="43"/>
      <c r="F14" s="43"/>
      <c r="G14" s="43"/>
      <c r="H14" s="43"/>
      <c r="I14" s="42"/>
      <c r="J14" s="42"/>
      <c r="K14" s="1"/>
      <c r="L14" s="1"/>
    </row>
    <row r="15" spans="1:12" ht="19" customHeight="1">
      <c r="A15" s="1"/>
      <c r="B15" s="1"/>
      <c r="C15" s="1"/>
      <c r="D15" s="2"/>
      <c r="E15" s="2"/>
      <c r="F15" s="2"/>
      <c r="G15" s="2"/>
      <c r="H15" s="2"/>
      <c r="I15" s="1"/>
      <c r="J15" s="1"/>
      <c r="K15" s="1"/>
      <c r="L15" s="1"/>
    </row>
    <row r="16" spans="1:12" ht="30" customHeight="1">
      <c r="A16" s="1"/>
      <c r="B16" s="1"/>
      <c r="C16" s="42" t="s">
        <v>7</v>
      </c>
      <c r="D16" s="43"/>
      <c r="E16" s="43"/>
      <c r="F16" s="43"/>
      <c r="G16" s="43"/>
      <c r="H16" s="43"/>
      <c r="I16" s="42"/>
      <c r="J16" s="42"/>
      <c r="K16" s="1"/>
      <c r="L16" s="1"/>
    </row>
    <row r="17" spans="1:12" ht="19" customHeight="1">
      <c r="A17" s="1"/>
      <c r="B17" s="1"/>
      <c r="C17" s="1"/>
      <c r="D17" s="2"/>
      <c r="E17" s="2"/>
      <c r="F17" s="2"/>
      <c r="G17" s="2"/>
      <c r="H17" s="2"/>
      <c r="I17" s="1"/>
      <c r="J17" s="1"/>
      <c r="K17" s="1"/>
      <c r="L17" s="1"/>
    </row>
    <row r="18" spans="1:12" ht="30" customHeight="1">
      <c r="A18" s="1"/>
      <c r="B18" s="1"/>
      <c r="C18" s="42" t="s">
        <v>8</v>
      </c>
      <c r="D18" s="43"/>
      <c r="E18" s="43"/>
      <c r="F18" s="43"/>
      <c r="G18" s="43"/>
      <c r="H18" s="43"/>
      <c r="I18" s="42"/>
      <c r="J18" s="42"/>
      <c r="K18" s="1"/>
      <c r="L18" s="1"/>
    </row>
    <row r="19" spans="1:12" ht="19" customHeight="1">
      <c r="A19" s="1"/>
      <c r="B19" s="1"/>
      <c r="C19" s="1"/>
      <c r="D19" s="2"/>
      <c r="E19" s="2"/>
      <c r="F19" s="2"/>
      <c r="G19" s="2"/>
      <c r="H19" s="2"/>
      <c r="I19" s="1"/>
      <c r="J19" s="1"/>
      <c r="K19" s="1"/>
      <c r="L19" s="1"/>
    </row>
    <row r="20" spans="1:12" ht="30" customHeight="1">
      <c r="A20" s="1"/>
      <c r="B20" s="1"/>
      <c r="C20" s="42" t="s">
        <v>9</v>
      </c>
      <c r="D20" s="43"/>
      <c r="E20" s="43"/>
      <c r="F20" s="43"/>
      <c r="G20" s="43"/>
      <c r="H20" s="43"/>
      <c r="I20" s="42"/>
      <c r="J20" s="42"/>
      <c r="K20" s="1"/>
      <c r="L20" s="1"/>
    </row>
    <row r="21" spans="1:12" ht="19" customHeight="1">
      <c r="A21" s="1"/>
      <c r="B21" s="1"/>
      <c r="C21" s="1"/>
      <c r="D21" s="2"/>
      <c r="E21" s="2"/>
      <c r="F21" s="2"/>
      <c r="G21" s="2"/>
      <c r="H21" s="2"/>
      <c r="I21" s="1"/>
      <c r="J21" s="1"/>
      <c r="K21" s="1"/>
      <c r="L21" s="1"/>
    </row>
    <row r="22" spans="1:12" ht="30" customHeight="1">
      <c r="A22" s="1"/>
      <c r="B22" s="1"/>
      <c r="C22" s="42" t="s">
        <v>10</v>
      </c>
      <c r="D22" s="43"/>
      <c r="E22" s="43"/>
      <c r="F22" s="43"/>
      <c r="G22" s="43"/>
      <c r="H22" s="43"/>
      <c r="I22" s="42"/>
      <c r="J22" s="42"/>
      <c r="K22" s="1"/>
      <c r="L22" s="1"/>
    </row>
    <row r="23" spans="1:12" ht="19" customHeight="1">
      <c r="A23" s="1"/>
      <c r="B23" s="1"/>
      <c r="C23" s="1"/>
      <c r="D23" s="2"/>
      <c r="E23" s="2"/>
      <c r="F23" s="2"/>
      <c r="G23" s="2"/>
      <c r="H23" s="2"/>
      <c r="I23" s="1"/>
      <c r="J23" s="1"/>
      <c r="K23" s="1"/>
      <c r="L23" s="1"/>
    </row>
    <row r="24" spans="1:12" ht="30" customHeight="1">
      <c r="A24" s="1"/>
      <c r="B24" s="1"/>
      <c r="C24" s="42" t="s">
        <v>11</v>
      </c>
      <c r="D24" s="43"/>
      <c r="E24" s="43"/>
      <c r="F24" s="43"/>
      <c r="G24" s="43"/>
      <c r="H24" s="43"/>
      <c r="I24" s="42"/>
      <c r="J24" s="42"/>
      <c r="K24" s="1"/>
      <c r="L24" s="1"/>
    </row>
    <row r="25" spans="1:12" ht="19" customHeight="1">
      <c r="A25" s="1"/>
      <c r="B25" s="1"/>
      <c r="C25" s="1"/>
      <c r="D25" s="2"/>
      <c r="E25" s="2"/>
      <c r="F25" s="2"/>
      <c r="G25" s="2"/>
      <c r="H25" s="2"/>
      <c r="I25" s="1"/>
      <c r="J25" s="1"/>
      <c r="K25" s="1"/>
      <c r="L25" s="1"/>
    </row>
    <row r="26" spans="1:12" ht="30" customHeight="1">
      <c r="A26" s="1"/>
      <c r="B26" s="1"/>
      <c r="C26" s="42" t="s">
        <v>12</v>
      </c>
      <c r="D26" s="43"/>
      <c r="E26" s="43"/>
      <c r="F26" s="43"/>
      <c r="G26" s="43"/>
      <c r="H26" s="43"/>
      <c r="I26" s="42"/>
      <c r="J26" s="42"/>
      <c r="K26" s="1"/>
      <c r="L26" s="1"/>
    </row>
    <row r="27" spans="1:12" ht="19" customHeight="1">
      <c r="A27" s="1"/>
      <c r="B27" s="1"/>
      <c r="C27" s="1"/>
      <c r="D27" s="2"/>
      <c r="E27" s="2"/>
      <c r="F27" s="2"/>
      <c r="G27" s="2"/>
      <c r="H27" s="2"/>
      <c r="I27" s="1"/>
      <c r="J27" s="1"/>
      <c r="K27" s="1"/>
      <c r="L27" s="1"/>
    </row>
    <row r="28" spans="1:12" ht="30" customHeight="1">
      <c r="A28" s="1"/>
      <c r="B28" s="1"/>
      <c r="C28" s="42" t="s">
        <v>13</v>
      </c>
      <c r="D28" s="43"/>
      <c r="E28" s="43"/>
      <c r="F28" s="43"/>
      <c r="G28" s="43"/>
      <c r="H28" s="43"/>
      <c r="I28" s="42"/>
      <c r="J28" s="42"/>
      <c r="K28" s="1"/>
      <c r="L28" s="1"/>
    </row>
    <row r="29" spans="1:12" ht="19" customHeight="1">
      <c r="A29" s="1"/>
      <c r="B29" s="1"/>
      <c r="C29" s="1"/>
      <c r="D29" s="2"/>
      <c r="E29" s="2"/>
      <c r="F29" s="2"/>
      <c r="G29" s="2"/>
      <c r="H29" s="2"/>
      <c r="I29" s="1"/>
      <c r="J29" s="1"/>
      <c r="K29" s="1"/>
      <c r="L29" s="1"/>
    </row>
    <row r="30" spans="1:12" ht="30" customHeight="1">
      <c r="A30" s="1"/>
      <c r="B30" s="1"/>
      <c r="C30" s="42" t="s">
        <v>14</v>
      </c>
      <c r="D30" s="43"/>
      <c r="E30" s="43"/>
      <c r="F30" s="43"/>
      <c r="G30" s="43"/>
      <c r="H30" s="43"/>
      <c r="I30" s="42"/>
      <c r="J30" s="42"/>
      <c r="K30" s="1"/>
      <c r="L30" s="1"/>
    </row>
    <row r="31" spans="1:12" ht="19" customHeight="1">
      <c r="A31" s="1"/>
      <c r="B31" s="1"/>
      <c r="C31" s="1"/>
      <c r="D31" s="2"/>
      <c r="E31" s="2"/>
      <c r="F31" s="2"/>
      <c r="G31" s="2"/>
      <c r="H31" s="2"/>
      <c r="I31" s="1"/>
      <c r="J31" s="1"/>
      <c r="K31" s="1"/>
      <c r="L31" s="1"/>
    </row>
    <row r="32" spans="1:12" ht="30" customHeight="1">
      <c r="A32" s="1"/>
      <c r="B32" s="1"/>
      <c r="C32" s="42" t="s">
        <v>15</v>
      </c>
      <c r="D32" s="43"/>
      <c r="E32" s="43"/>
      <c r="F32" s="43"/>
      <c r="G32" s="43"/>
      <c r="H32" s="43"/>
      <c r="I32" s="42"/>
      <c r="J32" s="42"/>
      <c r="K32" s="1"/>
      <c r="L32" s="1"/>
    </row>
    <row r="33" spans="1:12" ht="19" customHeight="1">
      <c r="A33" s="1"/>
      <c r="B33" s="1"/>
      <c r="C33" s="1"/>
      <c r="D33" s="2"/>
      <c r="E33" s="2"/>
      <c r="F33" s="2"/>
      <c r="G33" s="2"/>
      <c r="H33" s="2"/>
      <c r="I33" s="1"/>
      <c r="J33" s="1"/>
      <c r="K33" s="1"/>
      <c r="L33" s="1"/>
    </row>
    <row r="34" spans="1:12" ht="30" customHeight="1">
      <c r="A34" s="1"/>
      <c r="B34" s="1"/>
      <c r="C34" s="42" t="s">
        <v>16</v>
      </c>
      <c r="D34" s="43"/>
      <c r="E34" s="43"/>
      <c r="F34" s="43"/>
      <c r="G34" s="43"/>
      <c r="H34" s="43"/>
      <c r="I34" s="42"/>
      <c r="J34" s="42"/>
      <c r="K34" s="1"/>
      <c r="L34" s="1"/>
    </row>
    <row r="35" spans="1:12" ht="19" customHeight="1">
      <c r="A35" s="1"/>
      <c r="B35" s="1"/>
      <c r="C35" s="1"/>
      <c r="D35" s="2"/>
      <c r="E35" s="2"/>
      <c r="F35" s="2"/>
      <c r="G35" s="2"/>
      <c r="H35" s="2"/>
      <c r="I35" s="1"/>
      <c r="J35" s="1"/>
      <c r="K35" s="1"/>
      <c r="L35" s="1"/>
    </row>
    <row r="36" spans="1:12" ht="19" customHeight="1">
      <c r="A36" s="1"/>
      <c r="B36" s="1"/>
      <c r="C36" s="1"/>
      <c r="D36" s="2"/>
      <c r="E36" s="2"/>
      <c r="F36" s="2"/>
      <c r="G36" s="2"/>
      <c r="H36" s="2"/>
      <c r="I36" s="1"/>
      <c r="J36" s="1"/>
      <c r="K36" s="1"/>
      <c r="L36" s="1"/>
    </row>
    <row r="37" spans="1:12" ht="19" customHeight="1">
      <c r="A37" s="1"/>
      <c r="B37" s="1"/>
      <c r="C37" s="1"/>
      <c r="D37" s="2"/>
      <c r="E37" s="2"/>
      <c r="F37" s="2"/>
      <c r="G37" s="2"/>
      <c r="H37" s="2"/>
      <c r="I37" s="1"/>
      <c r="J37" s="1"/>
      <c r="K37" s="1"/>
      <c r="L37" s="1"/>
    </row>
    <row r="38" spans="1:12" ht="19" customHeight="1">
      <c r="A38" s="1"/>
      <c r="B38" s="1"/>
      <c r="C38" s="7" t="s">
        <v>17</v>
      </c>
      <c r="D38" s="8"/>
      <c r="E38" s="8"/>
      <c r="F38" s="8"/>
      <c r="G38" s="8"/>
      <c r="H38" s="8"/>
      <c r="I38" s="1"/>
      <c r="J38" s="1"/>
      <c r="K38" s="1"/>
      <c r="L38" s="1"/>
    </row>
    <row r="39" spans="1:12" ht="19" customHeight="1">
      <c r="A39" s="1"/>
      <c r="B39" s="1"/>
      <c r="C39" s="1"/>
      <c r="D39" s="2"/>
      <c r="E39" s="2"/>
      <c r="F39" s="2"/>
      <c r="G39" s="2"/>
      <c r="H39" s="2"/>
      <c r="I39" s="1"/>
      <c r="J39" s="1"/>
      <c r="K39" s="1"/>
      <c r="L39" s="1"/>
    </row>
    <row r="40" spans="1:12" ht="19" customHeight="1">
      <c r="A40" s="1"/>
      <c r="B40" s="1"/>
      <c r="C40" s="44" t="s">
        <v>18</v>
      </c>
      <c r="D40" s="45"/>
      <c r="E40" s="45"/>
      <c r="F40" s="45"/>
      <c r="G40" s="45"/>
      <c r="H40" s="45"/>
      <c r="I40" s="1"/>
      <c r="J40" s="1"/>
      <c r="K40" s="1"/>
      <c r="L40" s="1"/>
    </row>
    <row r="41" spans="1:12" ht="19" customHeight="1">
      <c r="A41" s="1"/>
      <c r="B41" s="1"/>
      <c r="C41" s="44" t="s">
        <v>19</v>
      </c>
      <c r="D41" s="45"/>
      <c r="E41" s="45"/>
      <c r="F41" s="45"/>
      <c r="G41" s="45"/>
      <c r="H41" s="45"/>
      <c r="I41" s="44"/>
      <c r="J41" s="44"/>
      <c r="K41" s="1"/>
      <c r="L41" s="1"/>
    </row>
    <row r="42" spans="1:12" ht="19" customHeight="1">
      <c r="A42" s="1"/>
      <c r="B42" s="1"/>
      <c r="C42" s="1"/>
      <c r="D42" s="2"/>
      <c r="E42" s="2"/>
      <c r="F42" s="2"/>
      <c r="G42" s="2"/>
      <c r="H42" s="2"/>
      <c r="I42" s="1"/>
      <c r="J42" s="1"/>
      <c r="K42" s="1"/>
      <c r="L42" s="1"/>
    </row>
    <row r="43" spans="1:12" ht="19" customHeight="1">
      <c r="A43" s="1"/>
      <c r="B43" s="1"/>
      <c r="C43" s="44" t="s">
        <v>20</v>
      </c>
      <c r="D43" s="45"/>
      <c r="E43" s="45"/>
      <c r="F43" s="45"/>
      <c r="G43" s="45"/>
      <c r="H43" s="45"/>
      <c r="I43" s="1"/>
      <c r="J43" s="1"/>
      <c r="K43" s="1"/>
      <c r="L43" s="1"/>
    </row>
    <row r="44" spans="1:12" ht="19" customHeight="1">
      <c r="A44" s="1"/>
      <c r="B44" s="1"/>
      <c r="C44" s="44" t="s">
        <v>21</v>
      </c>
      <c r="D44" s="45"/>
      <c r="E44" s="45"/>
      <c r="F44" s="45"/>
      <c r="G44" s="45"/>
      <c r="H44" s="45"/>
      <c r="I44" s="44"/>
      <c r="J44" s="44"/>
      <c r="K44" s="1"/>
      <c r="L44" s="1"/>
    </row>
    <row r="45" spans="1:12" ht="19" customHeight="1">
      <c r="A45" s="1"/>
      <c r="B45" s="1"/>
      <c r="C45" s="1"/>
      <c r="D45" s="2"/>
      <c r="E45" s="2"/>
      <c r="F45" s="2"/>
      <c r="G45" s="2"/>
      <c r="H45" s="2"/>
      <c r="I45" s="1"/>
      <c r="J45" s="1"/>
      <c r="K45" s="1"/>
      <c r="L45" s="1"/>
    </row>
    <row r="46" spans="1:12" ht="19" customHeight="1">
      <c r="A46" s="1"/>
      <c r="B46" s="1"/>
      <c r="C46" s="44" t="s">
        <v>22</v>
      </c>
      <c r="D46" s="45"/>
      <c r="E46" s="45"/>
      <c r="F46" s="45"/>
      <c r="G46" s="45"/>
      <c r="H46" s="45"/>
      <c r="I46" s="1"/>
      <c r="J46" s="1"/>
      <c r="K46" s="1"/>
      <c r="L46" s="1"/>
    </row>
    <row r="47" spans="1:12" ht="19" customHeight="1">
      <c r="A47" s="1"/>
      <c r="B47" s="1"/>
      <c r="C47" s="44" t="s">
        <v>23</v>
      </c>
      <c r="D47" s="45"/>
      <c r="E47" s="45"/>
      <c r="F47" s="45"/>
      <c r="G47" s="45"/>
      <c r="H47" s="45"/>
      <c r="I47" s="44"/>
      <c r="J47" s="44"/>
      <c r="K47" s="1"/>
      <c r="L47" s="1"/>
    </row>
    <row r="48" spans="1:12" ht="19" customHeight="1">
      <c r="A48" s="1"/>
      <c r="B48" s="1"/>
      <c r="C48" s="1"/>
      <c r="D48" s="2"/>
      <c r="E48" s="2"/>
      <c r="F48" s="2"/>
      <c r="G48" s="2"/>
      <c r="H48" s="2"/>
      <c r="I48" s="1"/>
      <c r="J48" s="1"/>
      <c r="K48" s="1"/>
      <c r="L48" s="1"/>
    </row>
    <row r="49" spans="1:12" ht="19" customHeight="1">
      <c r="A49" s="1"/>
      <c r="B49" s="1"/>
      <c r="C49" s="44" t="s">
        <v>24</v>
      </c>
      <c r="D49" s="45"/>
      <c r="E49" s="45"/>
      <c r="F49" s="45"/>
      <c r="G49" s="45"/>
      <c r="H49" s="45"/>
      <c r="I49" s="1"/>
      <c r="J49" s="1"/>
      <c r="K49" s="1"/>
      <c r="L49" s="1"/>
    </row>
    <row r="50" spans="1:12" ht="19" customHeight="1">
      <c r="A50" s="1"/>
      <c r="B50" s="1"/>
      <c r="C50" s="44" t="s">
        <v>25</v>
      </c>
      <c r="D50" s="45"/>
      <c r="E50" s="45"/>
      <c r="F50" s="45"/>
      <c r="G50" s="45"/>
      <c r="H50" s="45"/>
      <c r="I50" s="44"/>
      <c r="J50" s="44"/>
      <c r="K50" s="1"/>
      <c r="L50" s="1"/>
    </row>
    <row r="51" spans="1:12" ht="19" customHeight="1">
      <c r="A51" s="1"/>
      <c r="B51" s="1"/>
      <c r="C51" s="1"/>
      <c r="D51" s="2"/>
      <c r="E51" s="2"/>
      <c r="F51" s="2"/>
      <c r="G51" s="2"/>
      <c r="H51" s="2"/>
      <c r="I51" s="1"/>
      <c r="J51" s="1"/>
      <c r="K51" s="1"/>
      <c r="L51" s="1"/>
    </row>
    <row r="52" spans="1:12" ht="19" customHeight="1">
      <c r="A52" s="1"/>
      <c r="B52" s="1"/>
      <c r="C52" s="44" t="s">
        <v>26</v>
      </c>
      <c r="D52" s="45"/>
      <c r="E52" s="45"/>
      <c r="F52" s="45"/>
      <c r="G52" s="45"/>
      <c r="H52" s="45"/>
      <c r="I52" s="1"/>
      <c r="J52" s="1"/>
      <c r="K52" s="1"/>
      <c r="L52" s="1"/>
    </row>
    <row r="53" spans="1:12" ht="19" customHeight="1">
      <c r="A53" s="1"/>
      <c r="B53" s="1"/>
      <c r="C53" s="44" t="s">
        <v>27</v>
      </c>
      <c r="D53" s="45"/>
      <c r="E53" s="45"/>
      <c r="F53" s="45"/>
      <c r="G53" s="45"/>
      <c r="H53" s="45"/>
      <c r="I53" s="44"/>
      <c r="J53" s="44"/>
      <c r="K53" s="1"/>
      <c r="L53" s="1"/>
    </row>
    <row r="54" spans="1:12" ht="19" customHeight="1">
      <c r="A54" s="1"/>
      <c r="B54" s="1"/>
      <c r="C54" s="1"/>
      <c r="D54" s="2"/>
      <c r="E54" s="2"/>
      <c r="F54" s="2"/>
      <c r="G54" s="2"/>
      <c r="H54" s="2"/>
      <c r="I54" s="1"/>
      <c r="J54" s="1"/>
      <c r="K54" s="1"/>
      <c r="L54" s="1"/>
    </row>
    <row r="55" spans="1:12" ht="19" customHeight="1">
      <c r="A55" s="1"/>
      <c r="B55" s="1"/>
      <c r="C55" s="44" t="s">
        <v>28</v>
      </c>
      <c r="D55" s="45"/>
      <c r="E55" s="45"/>
      <c r="F55" s="45"/>
      <c r="G55" s="45"/>
      <c r="H55" s="45"/>
      <c r="I55" s="1"/>
      <c r="J55" s="1"/>
      <c r="K55" s="1"/>
      <c r="L55" s="1"/>
    </row>
    <row r="56" spans="1:12" ht="19" customHeight="1">
      <c r="A56" s="1"/>
      <c r="B56" s="1"/>
      <c r="C56" s="44" t="s">
        <v>29</v>
      </c>
      <c r="D56" s="45"/>
      <c r="E56" s="45"/>
      <c r="F56" s="45"/>
      <c r="G56" s="45"/>
      <c r="H56" s="45"/>
      <c r="I56" s="44"/>
      <c r="J56" s="44"/>
      <c r="K56" s="1"/>
      <c r="L56" s="1"/>
    </row>
    <row r="57" spans="1:12" ht="19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44" t="s">
        <v>30</v>
      </c>
      <c r="D58" s="45"/>
      <c r="E58" s="45"/>
      <c r="F58" s="45"/>
      <c r="G58" s="45"/>
      <c r="H58" s="45"/>
      <c r="I58" s="1"/>
      <c r="J58" s="1"/>
      <c r="K58" s="1"/>
      <c r="L58" s="1"/>
    </row>
    <row r="59" spans="1:12" ht="19" customHeight="1">
      <c r="A59" s="1"/>
      <c r="B59" s="1"/>
      <c r="C59" s="44" t="s">
        <v>31</v>
      </c>
      <c r="D59" s="45"/>
      <c r="E59" s="45"/>
      <c r="F59" s="45"/>
      <c r="G59" s="45"/>
      <c r="H59" s="45"/>
      <c r="I59" s="44"/>
      <c r="J59" s="44"/>
      <c r="K59" s="1"/>
      <c r="L59" s="1"/>
    </row>
    <row r="60" spans="1:12" ht="19" customHeight="1">
      <c r="A60" s="1"/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</row>
    <row r="61" spans="1:12" ht="19" customHeight="1">
      <c r="A61" s="1"/>
      <c r="B61" s="1"/>
      <c r="C61" s="44" t="s">
        <v>32</v>
      </c>
      <c r="D61" s="45"/>
      <c r="E61" s="45"/>
      <c r="F61" s="45"/>
      <c r="G61" s="45"/>
      <c r="H61" s="45"/>
      <c r="I61" s="1"/>
      <c r="J61" s="1"/>
      <c r="K61" s="1"/>
      <c r="L61" s="1"/>
    </row>
    <row r="62" spans="1:12" ht="19" customHeight="1">
      <c r="A62" s="1"/>
      <c r="B62" s="1"/>
      <c r="C62" s="44" t="s">
        <v>33</v>
      </c>
      <c r="D62" s="45"/>
      <c r="E62" s="45"/>
      <c r="F62" s="45"/>
      <c r="G62" s="45"/>
      <c r="H62" s="45"/>
      <c r="I62" s="44"/>
      <c r="J62" s="44"/>
      <c r="K62" s="1"/>
      <c r="L62" s="1"/>
    </row>
    <row r="63" spans="1:12" ht="19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</row>
    <row r="64" spans="1:12" ht="19" customHeight="1">
      <c r="A64" s="1"/>
      <c r="B64" s="1"/>
      <c r="C64" s="44" t="s">
        <v>34</v>
      </c>
      <c r="D64" s="45"/>
      <c r="E64" s="45"/>
      <c r="F64" s="45"/>
      <c r="G64" s="45"/>
      <c r="H64" s="45"/>
      <c r="I64" s="1"/>
      <c r="J64" s="1"/>
      <c r="K64" s="1"/>
      <c r="L64" s="1"/>
    </row>
    <row r="65" spans="1:12" ht="19" customHeight="1">
      <c r="A65" s="1"/>
      <c r="B65" s="1"/>
      <c r="C65" s="44" t="s">
        <v>35</v>
      </c>
      <c r="D65" s="45"/>
      <c r="E65" s="45"/>
      <c r="F65" s="45"/>
      <c r="G65" s="45"/>
      <c r="H65" s="45"/>
      <c r="I65" s="44"/>
      <c r="J65" s="44"/>
      <c r="K65" s="1"/>
      <c r="L65" s="1"/>
    </row>
    <row r="66" spans="1:12" ht="19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</row>
    <row r="67" spans="1:12" ht="19" customHeight="1">
      <c r="A67" s="1"/>
      <c r="B67" s="1"/>
      <c r="C67" s="44" t="s">
        <v>36</v>
      </c>
      <c r="D67" s="45"/>
      <c r="E67" s="45"/>
      <c r="F67" s="45"/>
      <c r="G67" s="45"/>
      <c r="H67" s="45"/>
      <c r="I67" s="1"/>
      <c r="J67" s="1"/>
      <c r="K67" s="1"/>
      <c r="L67" s="1"/>
    </row>
    <row r="68" spans="1:12" ht="19" customHeight="1">
      <c r="A68" s="1"/>
      <c r="B68" s="1"/>
      <c r="C68" s="44" t="s">
        <v>37</v>
      </c>
      <c r="D68" s="45"/>
      <c r="E68" s="45"/>
      <c r="F68" s="45"/>
      <c r="G68" s="45"/>
      <c r="H68" s="45"/>
      <c r="I68" s="44"/>
      <c r="J68" s="44"/>
      <c r="K68" s="1"/>
      <c r="L68" s="1"/>
    </row>
    <row r="69" spans="1:12" ht="19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</row>
    <row r="70" spans="1:12" ht="19" customHeight="1">
      <c r="A70" s="1"/>
      <c r="B70" s="1"/>
      <c r="C70" s="44" t="s">
        <v>38</v>
      </c>
      <c r="D70" s="45"/>
      <c r="E70" s="45"/>
      <c r="F70" s="45"/>
      <c r="G70" s="45"/>
      <c r="H70" s="45"/>
      <c r="I70" s="1"/>
      <c r="J70" s="1"/>
      <c r="K70" s="1"/>
      <c r="L70" s="1"/>
    </row>
    <row r="71" spans="1:12" ht="19" customHeight="1">
      <c r="A71" s="1"/>
      <c r="B71" s="1"/>
      <c r="C71" s="44" t="s">
        <v>39</v>
      </c>
      <c r="D71" s="45"/>
      <c r="E71" s="45"/>
      <c r="F71" s="45"/>
      <c r="G71" s="45"/>
      <c r="H71" s="45"/>
      <c r="I71" s="44"/>
      <c r="J71" s="44"/>
      <c r="K71" s="1"/>
      <c r="L71" s="1"/>
    </row>
    <row r="72" spans="1:12" ht="19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</row>
    <row r="73" spans="1:12" ht="19" customHeight="1">
      <c r="A73" s="1"/>
      <c r="B73" s="1"/>
      <c r="C73" s="44" t="s">
        <v>40</v>
      </c>
      <c r="D73" s="45"/>
      <c r="E73" s="45"/>
      <c r="F73" s="45"/>
      <c r="G73" s="45"/>
      <c r="H73" s="45"/>
      <c r="I73" s="1"/>
      <c r="J73" s="1"/>
      <c r="K73" s="1"/>
      <c r="L73" s="1"/>
    </row>
    <row r="74" spans="1:12" ht="19" customHeight="1">
      <c r="A74" s="1"/>
      <c r="B74" s="1"/>
      <c r="C74" s="44" t="s">
        <v>41</v>
      </c>
      <c r="D74" s="45"/>
      <c r="E74" s="45"/>
      <c r="F74" s="45"/>
      <c r="G74" s="45"/>
      <c r="H74" s="45"/>
      <c r="I74" s="44"/>
      <c r="J74" s="44"/>
      <c r="K74" s="1"/>
      <c r="L74" s="1"/>
    </row>
    <row r="75" spans="1:12" ht="19" customHeight="1">
      <c r="A75" s="1"/>
      <c r="B75" s="1"/>
      <c r="C75" s="1"/>
      <c r="D75" s="2"/>
      <c r="E75" s="2"/>
      <c r="F75" s="2"/>
      <c r="G75" s="2"/>
      <c r="H75" s="2"/>
      <c r="I75" s="1"/>
      <c r="J75" s="1"/>
      <c r="K75" s="1"/>
      <c r="L75" s="1"/>
    </row>
    <row r="76" spans="1:12" ht="19" customHeight="1">
      <c r="A76" s="1"/>
      <c r="B76" s="1"/>
      <c r="C76" s="44" t="s">
        <v>42</v>
      </c>
      <c r="D76" s="45"/>
      <c r="E76" s="45"/>
      <c r="F76" s="45"/>
      <c r="G76" s="45"/>
      <c r="H76" s="45"/>
      <c r="I76" s="1"/>
      <c r="J76" s="1"/>
      <c r="K76" s="1"/>
      <c r="L76" s="1"/>
    </row>
    <row r="77" spans="1:12" ht="19" customHeight="1">
      <c r="A77" s="1"/>
      <c r="B77" s="1"/>
      <c r="C77" s="44" t="s">
        <v>43</v>
      </c>
      <c r="D77" s="45"/>
      <c r="E77" s="45"/>
      <c r="F77" s="45"/>
      <c r="G77" s="45"/>
      <c r="H77" s="45"/>
      <c r="I77" s="44"/>
      <c r="J77" s="44"/>
      <c r="K77" s="1"/>
      <c r="L77" s="1"/>
    </row>
    <row r="78" spans="1:12" ht="19" customHeight="1">
      <c r="A78" s="1"/>
      <c r="B78" s="1"/>
      <c r="C78" s="1"/>
      <c r="D78" s="2"/>
      <c r="E78" s="2"/>
      <c r="F78" s="2"/>
      <c r="G78" s="2"/>
      <c r="H78" s="2"/>
      <c r="I78" s="1"/>
      <c r="J78" s="1"/>
      <c r="K78" s="1"/>
      <c r="L78" s="1"/>
    </row>
    <row r="79" spans="1:12" ht="19" customHeight="1">
      <c r="A79" s="1"/>
      <c r="B79" s="1"/>
      <c r="C79" s="44" t="s">
        <v>44</v>
      </c>
      <c r="D79" s="45"/>
      <c r="E79" s="45"/>
      <c r="F79" s="45"/>
      <c r="G79" s="45"/>
      <c r="H79" s="45"/>
      <c r="I79" s="1"/>
      <c r="J79" s="1"/>
      <c r="K79" s="1"/>
      <c r="L79" s="1"/>
    </row>
    <row r="80" spans="1:12" ht="19" customHeight="1">
      <c r="A80" s="1"/>
      <c r="B80" s="1"/>
      <c r="C80" s="44" t="s">
        <v>45</v>
      </c>
      <c r="D80" s="45"/>
      <c r="E80" s="45"/>
      <c r="F80" s="45"/>
      <c r="G80" s="45"/>
      <c r="H80" s="45"/>
      <c r="I80" s="44"/>
      <c r="J80" s="44"/>
      <c r="K80" s="1"/>
      <c r="L80" s="1"/>
    </row>
    <row r="81" spans="1:12" ht="19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</row>
    <row r="82" spans="1:12" ht="19" customHeight="1">
      <c r="A82" s="1"/>
      <c r="B82" s="1"/>
      <c r="C82" s="44" t="s">
        <v>46</v>
      </c>
      <c r="D82" s="45"/>
      <c r="E82" s="45"/>
      <c r="F82" s="45"/>
      <c r="G82" s="45"/>
      <c r="H82" s="45"/>
      <c r="I82" s="1"/>
      <c r="J82" s="1"/>
      <c r="K82" s="1"/>
      <c r="L82" s="1"/>
    </row>
    <row r="83" spans="1:12" ht="19" customHeight="1">
      <c r="A83" s="1"/>
      <c r="B83" s="1"/>
      <c r="C83" s="44" t="s">
        <v>47</v>
      </c>
      <c r="D83" s="45"/>
      <c r="E83" s="45"/>
      <c r="F83" s="45"/>
      <c r="G83" s="45"/>
      <c r="H83" s="45"/>
      <c r="I83" s="44"/>
      <c r="J83" s="44"/>
      <c r="K83" s="1"/>
      <c r="L83" s="1"/>
    </row>
    <row r="84" spans="1:12" ht="19" customHeight="1">
      <c r="A84" s="1"/>
      <c r="B84" s="1"/>
      <c r="C84" s="1"/>
      <c r="D84" s="2"/>
      <c r="E84" s="2"/>
      <c r="F84" s="2"/>
      <c r="G84" s="2"/>
      <c r="H84" s="2"/>
      <c r="I84" s="1"/>
      <c r="J84" s="1"/>
      <c r="K84" s="1"/>
      <c r="L84" s="1"/>
    </row>
    <row r="85" spans="1:12" ht="19" customHeight="1">
      <c r="A85" s="1"/>
      <c r="B85" s="1"/>
      <c r="C85" s="44" t="s">
        <v>48</v>
      </c>
      <c r="D85" s="45"/>
      <c r="E85" s="45"/>
      <c r="F85" s="45"/>
      <c r="G85" s="45"/>
      <c r="H85" s="45"/>
      <c r="I85" s="1"/>
      <c r="J85" s="1"/>
      <c r="K85" s="1"/>
      <c r="L85" s="1"/>
    </row>
    <row r="86" spans="1:12" ht="19" customHeight="1">
      <c r="A86" s="1"/>
      <c r="B86" s="1"/>
      <c r="C86" s="44" t="s">
        <v>49</v>
      </c>
      <c r="D86" s="45"/>
      <c r="E86" s="45"/>
      <c r="F86" s="45"/>
      <c r="G86" s="45"/>
      <c r="H86" s="45"/>
      <c r="I86" s="44"/>
      <c r="J86" s="44"/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44" t="s">
        <v>50</v>
      </c>
      <c r="D88" s="45"/>
      <c r="E88" s="45"/>
      <c r="F88" s="45"/>
      <c r="G88" s="45"/>
      <c r="H88" s="45"/>
      <c r="I88" s="1"/>
      <c r="J88" s="1"/>
      <c r="K88" s="1"/>
      <c r="L88" s="1"/>
    </row>
    <row r="89" spans="1:12" ht="19" customHeight="1">
      <c r="A89" s="1"/>
      <c r="B89" s="1"/>
      <c r="C89" s="44" t="s">
        <v>51</v>
      </c>
      <c r="D89" s="45"/>
      <c r="E89" s="45"/>
      <c r="F89" s="45"/>
      <c r="G89" s="45"/>
      <c r="H89" s="45"/>
      <c r="I89" s="44"/>
      <c r="J89" s="44"/>
      <c r="K89" s="1"/>
      <c r="L89" s="1"/>
    </row>
    <row r="90" spans="1:12" ht="19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</row>
    <row r="91" spans="1:12" ht="19" customHeight="1">
      <c r="A91" s="1"/>
      <c r="B91" s="1"/>
      <c r="C91" s="44" t="s">
        <v>52</v>
      </c>
      <c r="D91" s="45"/>
      <c r="E91" s="45"/>
      <c r="F91" s="45"/>
      <c r="G91" s="45"/>
      <c r="H91" s="45"/>
      <c r="I91" s="1"/>
      <c r="J91" s="1"/>
      <c r="K91" s="1"/>
      <c r="L91" s="1"/>
    </row>
    <row r="92" spans="1:12" ht="19" customHeight="1">
      <c r="A92" s="1"/>
      <c r="B92" s="1"/>
      <c r="C92" s="44" t="s">
        <v>53</v>
      </c>
      <c r="D92" s="45"/>
      <c r="E92" s="45"/>
      <c r="F92" s="45"/>
      <c r="G92" s="45"/>
      <c r="H92" s="45"/>
      <c r="I92" s="44"/>
      <c r="J92" s="44"/>
      <c r="K92" s="1"/>
      <c r="L92" s="1"/>
    </row>
    <row r="93" spans="1:12" ht="19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</row>
    <row r="94" spans="1:12" ht="19" customHeight="1">
      <c r="A94" s="1"/>
      <c r="B94" s="1"/>
      <c r="C94" s="44" t="s">
        <v>54</v>
      </c>
      <c r="D94" s="45"/>
      <c r="E94" s="45"/>
      <c r="F94" s="45"/>
      <c r="G94" s="45"/>
      <c r="H94" s="45"/>
      <c r="I94" s="1"/>
      <c r="J94" s="1"/>
      <c r="K94" s="1"/>
      <c r="L94" s="1"/>
    </row>
    <row r="95" spans="1:12" ht="19" customHeight="1">
      <c r="A95" s="1"/>
      <c r="B95" s="1"/>
      <c r="C95" s="44" t="s">
        <v>55</v>
      </c>
      <c r="D95" s="45"/>
      <c r="E95" s="45"/>
      <c r="F95" s="45"/>
      <c r="G95" s="45"/>
      <c r="H95" s="45"/>
      <c r="I95" s="44"/>
      <c r="J95" s="44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44" t="s">
        <v>56</v>
      </c>
      <c r="D97" s="45"/>
      <c r="E97" s="45"/>
      <c r="F97" s="45"/>
      <c r="G97" s="45"/>
      <c r="H97" s="45"/>
      <c r="I97" s="1"/>
      <c r="J97" s="1"/>
      <c r="K97" s="1"/>
      <c r="L97" s="1"/>
    </row>
    <row r="98" spans="1:12" ht="19" customHeight="1">
      <c r="A98" s="1"/>
      <c r="B98" s="1"/>
      <c r="C98" s="44" t="s">
        <v>57</v>
      </c>
      <c r="D98" s="45"/>
      <c r="E98" s="45"/>
      <c r="F98" s="45"/>
      <c r="G98" s="45"/>
      <c r="H98" s="45"/>
      <c r="I98" s="44"/>
      <c r="J98" s="44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44" t="s">
        <v>58</v>
      </c>
      <c r="D100" s="45"/>
      <c r="E100" s="45"/>
      <c r="F100" s="45"/>
      <c r="G100" s="45"/>
      <c r="H100" s="45"/>
      <c r="I100" s="1"/>
      <c r="J100" s="1"/>
      <c r="K100" s="1"/>
      <c r="L100" s="1"/>
    </row>
    <row r="101" spans="1:12" ht="19" customHeight="1">
      <c r="A101" s="1"/>
      <c r="B101" s="1"/>
      <c r="C101" s="44" t="s">
        <v>59</v>
      </c>
      <c r="D101" s="45"/>
      <c r="E101" s="45"/>
      <c r="F101" s="45"/>
      <c r="G101" s="45"/>
      <c r="H101" s="45"/>
      <c r="I101" s="44"/>
      <c r="J101" s="44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44" t="s">
        <v>60</v>
      </c>
      <c r="D103" s="45"/>
      <c r="E103" s="45"/>
      <c r="F103" s="45"/>
      <c r="G103" s="45"/>
      <c r="H103" s="45"/>
      <c r="I103" s="1"/>
      <c r="J103" s="1"/>
      <c r="K103" s="1"/>
      <c r="L103" s="1"/>
    </row>
    <row r="104" spans="1:12" ht="19" customHeight="1">
      <c r="A104" s="1"/>
      <c r="B104" s="1"/>
      <c r="C104" s="44" t="s">
        <v>61</v>
      </c>
      <c r="D104" s="45"/>
      <c r="E104" s="45"/>
      <c r="F104" s="45"/>
      <c r="G104" s="45"/>
      <c r="H104" s="45"/>
      <c r="I104" s="44"/>
      <c r="J104" s="44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mergeCells count="59">
    <mergeCell ref="C100:H100"/>
    <mergeCell ref="C101:J101"/>
    <mergeCell ref="C103:H103"/>
    <mergeCell ref="C104:J104"/>
    <mergeCell ref="C92:J92"/>
    <mergeCell ref="C94:H94"/>
    <mergeCell ref="C95:J95"/>
    <mergeCell ref="C97:H97"/>
    <mergeCell ref="C98:J98"/>
    <mergeCell ref="C85:H85"/>
    <mergeCell ref="C86:J86"/>
    <mergeCell ref="C88:H88"/>
    <mergeCell ref="C89:J89"/>
    <mergeCell ref="C91:H91"/>
    <mergeCell ref="C77:J77"/>
    <mergeCell ref="C79:H79"/>
    <mergeCell ref="C80:J80"/>
    <mergeCell ref="C82:H82"/>
    <mergeCell ref="C83:J83"/>
    <mergeCell ref="C70:H70"/>
    <mergeCell ref="C71:J71"/>
    <mergeCell ref="C73:H73"/>
    <mergeCell ref="C74:J74"/>
    <mergeCell ref="C76:H76"/>
    <mergeCell ref="C62:J62"/>
    <mergeCell ref="C64:H64"/>
    <mergeCell ref="C65:J65"/>
    <mergeCell ref="C67:H67"/>
    <mergeCell ref="C68:J68"/>
    <mergeCell ref="C55:H55"/>
    <mergeCell ref="C56:J56"/>
    <mergeCell ref="C58:H58"/>
    <mergeCell ref="C59:J59"/>
    <mergeCell ref="C61:H61"/>
    <mergeCell ref="C47:J47"/>
    <mergeCell ref="C49:H49"/>
    <mergeCell ref="C50:J50"/>
    <mergeCell ref="C52:H52"/>
    <mergeCell ref="C53:J53"/>
    <mergeCell ref="C40:H40"/>
    <mergeCell ref="C41:J41"/>
    <mergeCell ref="C43:H43"/>
    <mergeCell ref="C44:J44"/>
    <mergeCell ref="C46:H46"/>
    <mergeCell ref="C26:J26"/>
    <mergeCell ref="C28:J28"/>
    <mergeCell ref="C30:J30"/>
    <mergeCell ref="C32:J32"/>
    <mergeCell ref="C34:J34"/>
    <mergeCell ref="C16:J16"/>
    <mergeCell ref="C18:J18"/>
    <mergeCell ref="C20:J20"/>
    <mergeCell ref="C22:J22"/>
    <mergeCell ref="C24:J24"/>
    <mergeCell ref="C6:J6"/>
    <mergeCell ref="C8:J8"/>
    <mergeCell ref="C10:J10"/>
    <mergeCell ref="C12:J12"/>
    <mergeCell ref="C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7493"/>
  </sheetPr>
  <dimension ref="A1:L190"/>
  <sheetViews>
    <sheetView showGridLines="0" workbookViewId="0">
      <pane ySplit="26" topLeftCell="A27" activePane="bottomLeft" state="frozen"/>
      <selection pane="bottomLeft"/>
    </sheetView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62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17">
        <v>1</v>
      </c>
      <c r="E4" s="2"/>
      <c r="F4" s="2" t="str">
        <f>CHOOSE(D4,"Base","Bull","Bear")</f>
        <v>Base</v>
      </c>
      <c r="G4" s="2"/>
      <c r="H4" s="2"/>
      <c r="I4" s="1"/>
      <c r="J4" s="1" t="s">
        <v>63</v>
      </c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19" customHeight="1">
      <c r="A6" s="1"/>
      <c r="B6" s="1"/>
      <c r="C6" s="1" t="s">
        <v>64</v>
      </c>
      <c r="D6" s="19">
        <v>46312</v>
      </c>
      <c r="E6" s="2"/>
      <c r="F6" s="2"/>
      <c r="G6" s="2"/>
      <c r="H6" s="2"/>
      <c r="I6" s="1"/>
      <c r="J6" s="1" t="s">
        <v>65</v>
      </c>
      <c r="K6" s="1"/>
      <c r="L6" s="1"/>
    </row>
    <row r="7" spans="1:12" ht="19" customHeight="1">
      <c r="A7" s="1"/>
      <c r="B7" s="1"/>
      <c r="C7" s="1" t="s">
        <v>66</v>
      </c>
      <c r="D7" s="20">
        <v>340.59</v>
      </c>
      <c r="E7" s="2"/>
      <c r="F7" s="2"/>
      <c r="G7" s="2"/>
      <c r="H7" s="2"/>
      <c r="I7" s="1"/>
      <c r="J7" s="1" t="s">
        <v>67</v>
      </c>
      <c r="K7" s="1"/>
      <c r="L7" s="1"/>
    </row>
    <row r="8" spans="1:12" ht="19" customHeight="1">
      <c r="A8" s="1"/>
      <c r="B8" s="1"/>
      <c r="C8" s="1" t="s">
        <v>68</v>
      </c>
      <c r="D8" s="19">
        <v>46311</v>
      </c>
      <c r="E8" s="2"/>
      <c r="F8" s="2"/>
      <c r="G8" s="2"/>
      <c r="H8" s="2"/>
      <c r="I8" s="1"/>
      <c r="J8" s="1" t="s">
        <v>69</v>
      </c>
      <c r="K8" s="1"/>
      <c r="L8" s="1"/>
    </row>
    <row r="9" spans="1:12" ht="19" customHeight="1">
      <c r="A9" s="1"/>
      <c r="B9" s="1"/>
      <c r="C9" s="1" t="s">
        <v>70</v>
      </c>
      <c r="D9" s="21">
        <v>4.4999999999999998E-2</v>
      </c>
      <c r="E9" s="2"/>
      <c r="F9" s="2"/>
      <c r="G9" s="2"/>
      <c r="H9" s="2"/>
      <c r="I9" s="1"/>
      <c r="J9" s="1" t="s">
        <v>71</v>
      </c>
      <c r="K9" s="1"/>
      <c r="L9" s="1"/>
    </row>
    <row r="10" spans="1:12" ht="19" customHeight="1">
      <c r="A10" s="1"/>
      <c r="B10" s="1"/>
      <c r="C10" s="1" t="s">
        <v>72</v>
      </c>
      <c r="D10" s="22">
        <v>1.2</v>
      </c>
      <c r="E10" s="2"/>
      <c r="F10" s="2"/>
      <c r="G10" s="2"/>
      <c r="H10" s="2"/>
      <c r="I10" s="1"/>
      <c r="J10" s="1" t="s">
        <v>73</v>
      </c>
      <c r="K10" s="1"/>
      <c r="L10" s="1"/>
    </row>
    <row r="11" spans="1:12" ht="19" customHeight="1">
      <c r="A11" s="1"/>
      <c r="B11" s="1"/>
      <c r="C11" s="1" t="s">
        <v>74</v>
      </c>
      <c r="D11" s="21">
        <v>4.4999999999999998E-2</v>
      </c>
      <c r="E11" s="2"/>
      <c r="F11" s="2"/>
      <c r="G11" s="2"/>
      <c r="H11" s="2"/>
      <c r="I11" s="1"/>
      <c r="J11" s="1" t="s">
        <v>75</v>
      </c>
      <c r="K11" s="1"/>
      <c r="L11" s="1"/>
    </row>
    <row r="12" spans="1:12" ht="19" customHeight="1">
      <c r="A12" s="1"/>
      <c r="B12" s="1"/>
      <c r="C12" s="1" t="s">
        <v>76</v>
      </c>
      <c r="D12" s="21">
        <v>4.8000000000000001E-2</v>
      </c>
      <c r="E12" s="2"/>
      <c r="F12" s="2"/>
      <c r="G12" s="2"/>
      <c r="H12" s="2"/>
      <c r="I12" s="1"/>
      <c r="J12" s="1" t="s">
        <v>77</v>
      </c>
      <c r="K12" s="1"/>
      <c r="L12" s="1"/>
    </row>
    <row r="13" spans="1:12" ht="19" customHeight="1">
      <c r="A13" s="1"/>
      <c r="B13" s="1"/>
      <c r="C13" s="1" t="s">
        <v>78</v>
      </c>
      <c r="D13" s="21">
        <v>0.2</v>
      </c>
      <c r="E13" s="2"/>
      <c r="F13" s="2"/>
      <c r="G13" s="2"/>
      <c r="H13" s="2"/>
      <c r="I13" s="1"/>
      <c r="J13" s="1" t="s">
        <v>79</v>
      </c>
      <c r="K13" s="1"/>
      <c r="L13" s="1"/>
    </row>
    <row r="14" spans="1:12" ht="19" customHeight="1">
      <c r="A14" s="1"/>
      <c r="B14" s="1"/>
      <c r="C14" s="1" t="s">
        <v>80</v>
      </c>
      <c r="D14" s="21">
        <v>0.03</v>
      </c>
      <c r="E14" s="2"/>
      <c r="F14" s="2"/>
      <c r="G14" s="2"/>
      <c r="H14" s="2"/>
      <c r="I14" s="1"/>
      <c r="J14" s="1" t="s">
        <v>81</v>
      </c>
      <c r="K14" s="1"/>
      <c r="L14" s="1"/>
    </row>
    <row r="15" spans="1:12" ht="19" customHeight="1">
      <c r="A15" s="1"/>
      <c r="B15" s="1"/>
      <c r="C15" s="1" t="s">
        <v>82</v>
      </c>
      <c r="D15" s="22">
        <v>1.1499999999999999</v>
      </c>
      <c r="E15" s="2"/>
      <c r="F15" s="2"/>
      <c r="G15" s="2"/>
      <c r="H15" s="2"/>
      <c r="I15" s="1"/>
      <c r="J15" s="1" t="s">
        <v>83</v>
      </c>
      <c r="K15" s="1"/>
      <c r="L15" s="1"/>
    </row>
    <row r="16" spans="1:12" ht="19" customHeight="1">
      <c r="A16" s="1"/>
      <c r="B16" s="1"/>
      <c r="C16" s="1" t="s">
        <v>84</v>
      </c>
      <c r="D16" s="21">
        <v>0</v>
      </c>
      <c r="E16" s="2"/>
      <c r="F16" s="2"/>
      <c r="G16" s="2"/>
      <c r="H16" s="2"/>
      <c r="I16" s="1"/>
      <c r="J16" s="1" t="s">
        <v>85</v>
      </c>
      <c r="K16" s="1"/>
      <c r="L16" s="1"/>
    </row>
    <row r="17" spans="1:12" ht="19" customHeight="1">
      <c r="A17" s="1"/>
      <c r="B17" s="1"/>
      <c r="C17" s="1" t="s">
        <v>86</v>
      </c>
      <c r="D17" s="18">
        <v>195000</v>
      </c>
      <c r="E17" s="2"/>
      <c r="F17" s="2"/>
      <c r="G17" s="2"/>
      <c r="H17" s="2"/>
      <c r="I17" s="1"/>
      <c r="J17" s="1" t="s">
        <v>87</v>
      </c>
      <c r="K17" s="1"/>
      <c r="L17" s="1"/>
    </row>
    <row r="18" spans="1:12" ht="19" customHeight="1">
      <c r="A18" s="1"/>
      <c r="B18" s="1"/>
      <c r="C18" s="1" t="s">
        <v>88</v>
      </c>
      <c r="D18" s="18">
        <v>205000</v>
      </c>
      <c r="E18" s="2"/>
      <c r="F18" s="2"/>
      <c r="G18" s="2"/>
      <c r="H18" s="2"/>
      <c r="I18" s="1"/>
      <c r="J18" s="1" t="s">
        <v>87</v>
      </c>
      <c r="K18" s="1"/>
      <c r="L18" s="1"/>
    </row>
    <row r="19" spans="1:12" ht="19" customHeight="1">
      <c r="A19" s="1"/>
      <c r="B19" s="1"/>
      <c r="C19" s="1" t="s">
        <v>89</v>
      </c>
      <c r="D19" s="2">
        <f>AVERAGE(D17:D18)</f>
        <v>200000</v>
      </c>
      <c r="E19" s="2"/>
      <c r="F19" s="2"/>
      <c r="G19" s="2"/>
      <c r="H19" s="2"/>
      <c r="I19" s="1"/>
      <c r="J19" s="1"/>
      <c r="K19" s="1"/>
      <c r="L19" s="1"/>
    </row>
    <row r="20" spans="1:12" ht="19" customHeight="1">
      <c r="A20" s="1"/>
      <c r="B20" s="1"/>
      <c r="C20" s="1" t="s">
        <v>90</v>
      </c>
      <c r="D20" s="21">
        <v>6.25E-2</v>
      </c>
      <c r="E20" s="2"/>
      <c r="F20" s="2"/>
      <c r="G20" s="2"/>
      <c r="H20" s="2"/>
      <c r="I20" s="1"/>
      <c r="J20" s="1" t="s">
        <v>91</v>
      </c>
      <c r="K20" s="1"/>
      <c r="L20" s="1"/>
    </row>
    <row r="21" spans="1:12" ht="19" customHeight="1">
      <c r="A21" s="1"/>
      <c r="B21" s="1"/>
      <c r="C21" s="1" t="s">
        <v>92</v>
      </c>
      <c r="D21" s="21">
        <v>5.0000000000000001E-3</v>
      </c>
      <c r="E21" s="2"/>
      <c r="F21" s="2"/>
      <c r="G21" s="2"/>
      <c r="H21" s="2"/>
      <c r="I21" s="1"/>
      <c r="J21" s="1" t="s">
        <v>93</v>
      </c>
      <c r="K21" s="1"/>
      <c r="L21" s="1"/>
    </row>
    <row r="22" spans="1:12" ht="19" customHeight="1">
      <c r="A22" s="1"/>
      <c r="B22" s="1"/>
      <c r="C22" s="1" t="s">
        <v>94</v>
      </c>
      <c r="D22" s="21">
        <v>5.0000000000000001E-3</v>
      </c>
      <c r="E22" s="2"/>
      <c r="F22" s="2"/>
      <c r="G22" s="2"/>
      <c r="H22" s="2"/>
      <c r="I22" s="1"/>
      <c r="J22" s="1" t="s">
        <v>93</v>
      </c>
      <c r="K22" s="1"/>
      <c r="L22" s="1"/>
    </row>
    <row r="23" spans="1:12" ht="19" customHeight="1">
      <c r="A23" s="1"/>
      <c r="B23" s="1"/>
      <c r="C23" s="1" t="s">
        <v>95</v>
      </c>
      <c r="D23" s="18">
        <v>0</v>
      </c>
      <c r="E23" s="2"/>
      <c r="F23" s="2"/>
      <c r="G23" s="2"/>
      <c r="H23" s="2"/>
      <c r="I23" s="1"/>
      <c r="J23" s="1" t="s">
        <v>96</v>
      </c>
      <c r="K23" s="1"/>
      <c r="L23" s="1"/>
    </row>
    <row r="24" spans="1:12" ht="19" customHeight="1">
      <c r="A24" s="1"/>
      <c r="B24" s="1"/>
      <c r="C24" s="1"/>
      <c r="D24" s="2"/>
      <c r="E24" s="2"/>
      <c r="F24" s="2"/>
      <c r="G24" s="2"/>
      <c r="H24" s="2"/>
      <c r="I24" s="1"/>
      <c r="J24" s="1"/>
      <c r="K24" s="1"/>
      <c r="L24" s="1"/>
    </row>
    <row r="25" spans="1:12" ht="19" customHeight="1">
      <c r="A25" s="1"/>
      <c r="B25" s="1"/>
      <c r="C25" s="1"/>
      <c r="D25" s="2"/>
      <c r="E25" s="2"/>
      <c r="F25" s="2"/>
      <c r="G25" s="2"/>
      <c r="H25" s="2"/>
      <c r="I25" s="1"/>
      <c r="J25" s="1"/>
      <c r="K25" s="1"/>
      <c r="L25" s="1"/>
    </row>
    <row r="26" spans="1:12" ht="19" customHeight="1">
      <c r="A26" s="1"/>
      <c r="B26" s="1"/>
      <c r="C26" s="9" t="s">
        <v>97</v>
      </c>
      <c r="D26" s="10" t="s">
        <v>98</v>
      </c>
      <c r="E26" s="10" t="s">
        <v>99</v>
      </c>
      <c r="F26" s="10" t="s">
        <v>100</v>
      </c>
      <c r="G26" s="10" t="s">
        <v>101</v>
      </c>
      <c r="H26" s="10" t="s">
        <v>102</v>
      </c>
      <c r="I26" s="1"/>
      <c r="J26" s="1" t="s">
        <v>103</v>
      </c>
      <c r="K26" s="1"/>
      <c r="L26" s="1"/>
    </row>
    <row r="27" spans="1:12" ht="19" customHeight="1">
      <c r="A27" s="1"/>
      <c r="B27" s="1"/>
      <c r="C27" s="1"/>
      <c r="D27" s="2"/>
      <c r="E27" s="2"/>
      <c r="F27" s="2"/>
      <c r="G27" s="2"/>
      <c r="H27" s="2"/>
      <c r="I27" s="1"/>
      <c r="J27" s="1"/>
      <c r="K27" s="1"/>
      <c r="L27" s="1"/>
    </row>
    <row r="28" spans="1:12" ht="19" customHeight="1">
      <c r="A28" s="1"/>
      <c r="B28" s="1"/>
      <c r="C28" s="14" t="s">
        <v>104</v>
      </c>
      <c r="D28" s="25">
        <f>IF(ISNUMBER(CHOOSE($D$4,D29,D30,D31)),CHOOSE($D$4,D29,D30,D31),"Missing input")</f>
        <v>0.16</v>
      </c>
      <c r="E28" s="25">
        <f>IF(ISNUMBER(CHOOSE($D$4,E29,E30,E31)),CHOOSE($D$4,E29,E30,E31),"Missing input")</f>
        <v>0.12</v>
      </c>
      <c r="F28" s="25">
        <f>IF(ISNUMBER(CHOOSE($D$4,F29,F30,F31)),CHOOSE($D$4,F29,F30,F31),"Missing input")</f>
        <v>0.1</v>
      </c>
      <c r="G28" s="25">
        <f>IF(ISNUMBER(CHOOSE($D$4,G29,G30,G31)),CHOOSE($D$4,G29,G30,G31),"Missing input")</f>
        <v>0.08</v>
      </c>
      <c r="H28" s="25">
        <f>IF(ISNUMBER(CHOOSE($D$4,H29,H30,H31)),CHOOSE($D$4,H29,H30,H31),"Missing input")</f>
        <v>7.0000000000000007E-2</v>
      </c>
      <c r="I28" s="1"/>
      <c r="J28" s="1" t="s">
        <v>105</v>
      </c>
      <c r="K28" s="1"/>
      <c r="L28" s="1"/>
    </row>
    <row r="29" spans="1:12" ht="19" customHeight="1">
      <c r="A29" s="1"/>
      <c r="B29" s="1"/>
      <c r="C29" s="1" t="s">
        <v>106</v>
      </c>
      <c r="D29" s="21">
        <v>0.16</v>
      </c>
      <c r="E29" s="21">
        <v>0.12</v>
      </c>
      <c r="F29" s="21">
        <v>0.1</v>
      </c>
      <c r="G29" s="21">
        <v>0.08</v>
      </c>
      <c r="H29" s="21">
        <v>7.0000000000000007E-2</v>
      </c>
      <c r="I29" s="1"/>
      <c r="J29" s="1" t="s">
        <v>105</v>
      </c>
      <c r="K29" s="1"/>
      <c r="L29" s="1"/>
    </row>
    <row r="30" spans="1:12" ht="19" customHeight="1">
      <c r="A30" s="1"/>
      <c r="B30" s="1"/>
      <c r="C30" s="1" t="s">
        <v>107</v>
      </c>
      <c r="D30" s="21">
        <v>0.19</v>
      </c>
      <c r="E30" s="21">
        <v>0.15</v>
      </c>
      <c r="F30" s="21">
        <v>0.13</v>
      </c>
      <c r="G30" s="21">
        <v>0.11</v>
      </c>
      <c r="H30" s="21">
        <v>0.09</v>
      </c>
      <c r="I30" s="1"/>
      <c r="J30" s="1" t="s">
        <v>105</v>
      </c>
      <c r="K30" s="1"/>
      <c r="L30" s="1"/>
    </row>
    <row r="31" spans="1:12" ht="19" customHeight="1">
      <c r="A31" s="1"/>
      <c r="B31" s="1"/>
      <c r="C31" s="1" t="s">
        <v>108</v>
      </c>
      <c r="D31" s="21">
        <v>0.1</v>
      </c>
      <c r="E31" s="21">
        <v>0.08</v>
      </c>
      <c r="F31" s="21">
        <v>0.06</v>
      </c>
      <c r="G31" s="21">
        <v>0.05</v>
      </c>
      <c r="H31" s="21">
        <v>0.04</v>
      </c>
      <c r="I31" s="1"/>
      <c r="J31" s="1" t="s">
        <v>105</v>
      </c>
      <c r="K31" s="1"/>
      <c r="L31" s="1"/>
    </row>
    <row r="32" spans="1:12" ht="19" customHeight="1">
      <c r="A32" s="1"/>
      <c r="B32" s="1"/>
      <c r="C32" s="1"/>
      <c r="D32" s="2"/>
      <c r="E32" s="2"/>
      <c r="F32" s="2"/>
      <c r="G32" s="2"/>
      <c r="H32" s="2"/>
      <c r="I32" s="1"/>
      <c r="J32" s="1"/>
      <c r="K32" s="1"/>
      <c r="L32" s="1"/>
    </row>
    <row r="33" spans="1:12" ht="19" customHeight="1">
      <c r="A33" s="1"/>
      <c r="B33" s="1"/>
      <c r="C33" s="14" t="s">
        <v>109</v>
      </c>
      <c r="D33" s="25">
        <f>IF(ISNUMBER(CHOOSE($D$4,D34,D35,D36)),CHOOSE($D$4,D34,D35,D36),"Missing input")</f>
        <v>0.13</v>
      </c>
      <c r="E33" s="25">
        <f>IF(ISNUMBER(CHOOSE($D$4,E34,E35,E36)),CHOOSE($D$4,E34,E35,E36),"Missing input")</f>
        <v>0.12</v>
      </c>
      <c r="F33" s="25">
        <f>IF(ISNUMBER(CHOOSE($D$4,F34,F35,F36)),CHOOSE($D$4,F34,F35,F36),"Missing input")</f>
        <v>0.11</v>
      </c>
      <c r="G33" s="25">
        <f>IF(ISNUMBER(CHOOSE($D$4,G34,G35,G36)),CHOOSE($D$4,G34,G35,G36),"Missing input")</f>
        <v>0.1</v>
      </c>
      <c r="H33" s="25">
        <f>IF(ISNUMBER(CHOOSE($D$4,H34,H35,H36)),CHOOSE($D$4,H34,H35,H36),"Missing input")</f>
        <v>0.09</v>
      </c>
      <c r="I33" s="1"/>
      <c r="J33" s="1" t="s">
        <v>110</v>
      </c>
      <c r="K33" s="1"/>
      <c r="L33" s="1"/>
    </row>
    <row r="34" spans="1:12" ht="19" customHeight="1">
      <c r="A34" s="1"/>
      <c r="B34" s="1"/>
      <c r="C34" s="1" t="s">
        <v>106</v>
      </c>
      <c r="D34" s="21">
        <v>0.13</v>
      </c>
      <c r="E34" s="21">
        <v>0.12</v>
      </c>
      <c r="F34" s="21">
        <v>0.11</v>
      </c>
      <c r="G34" s="21">
        <v>0.1</v>
      </c>
      <c r="H34" s="21">
        <v>0.09</v>
      </c>
      <c r="I34" s="1"/>
      <c r="J34" s="1" t="s">
        <v>110</v>
      </c>
      <c r="K34" s="1"/>
      <c r="L34" s="1"/>
    </row>
    <row r="35" spans="1:12" ht="19" customHeight="1">
      <c r="A35" s="1"/>
      <c r="B35" s="1"/>
      <c r="C35" s="1" t="s">
        <v>107</v>
      </c>
      <c r="D35" s="21">
        <v>0.16</v>
      </c>
      <c r="E35" s="21">
        <v>0.15</v>
      </c>
      <c r="F35" s="21">
        <v>0.14000000000000001</v>
      </c>
      <c r="G35" s="21">
        <v>0.12</v>
      </c>
      <c r="H35" s="21">
        <v>0.1</v>
      </c>
      <c r="I35" s="1"/>
      <c r="J35" s="1" t="s">
        <v>110</v>
      </c>
      <c r="K35" s="1"/>
      <c r="L35" s="1"/>
    </row>
    <row r="36" spans="1:12" ht="19" customHeight="1">
      <c r="A36" s="1"/>
      <c r="B36" s="1"/>
      <c r="C36" s="1" t="s">
        <v>108</v>
      </c>
      <c r="D36" s="21">
        <v>0.08</v>
      </c>
      <c r="E36" s="21">
        <v>7.0000000000000007E-2</v>
      </c>
      <c r="F36" s="21">
        <v>0.06</v>
      </c>
      <c r="G36" s="21">
        <v>0.05</v>
      </c>
      <c r="H36" s="21">
        <v>0.05</v>
      </c>
      <c r="I36" s="1"/>
      <c r="J36" s="1" t="s">
        <v>110</v>
      </c>
      <c r="K36" s="1"/>
      <c r="L36" s="1"/>
    </row>
    <row r="37" spans="1:12" ht="19" customHeight="1">
      <c r="A37" s="1"/>
      <c r="B37" s="1"/>
      <c r="C37" s="1"/>
      <c r="D37" s="2"/>
      <c r="E37" s="2"/>
      <c r="F37" s="2"/>
      <c r="G37" s="2"/>
      <c r="H37" s="2"/>
      <c r="I37" s="1"/>
      <c r="J37" s="1"/>
      <c r="K37" s="1"/>
      <c r="L37" s="1"/>
    </row>
    <row r="38" spans="1:12" ht="19" customHeight="1">
      <c r="A38" s="1"/>
      <c r="B38" s="1"/>
      <c r="C38" s="14" t="s">
        <v>111</v>
      </c>
      <c r="D38" s="25">
        <f>IF(ISNUMBER(CHOOSE($D$4,D39,D40,D41)),CHOOSE($D$4,D39,D40,D41),"Missing input")</f>
        <v>-0.02</v>
      </c>
      <c r="E38" s="25">
        <f>IF(ISNUMBER(CHOOSE($D$4,E39,E40,E41)),CHOOSE($D$4,E39,E40,E41),"Missing input")</f>
        <v>-0.02</v>
      </c>
      <c r="F38" s="25">
        <f>IF(ISNUMBER(CHOOSE($D$4,F39,F40,F41)),CHOOSE($D$4,F39,F40,F41),"Missing input")</f>
        <v>-0.01</v>
      </c>
      <c r="G38" s="25">
        <f>IF(ISNUMBER(CHOOSE($D$4,G39,G40,G41)),CHOOSE($D$4,G39,G40,G41),"Missing input")</f>
        <v>0</v>
      </c>
      <c r="H38" s="25">
        <f>IF(ISNUMBER(CHOOSE($D$4,H39,H40,H41)),CHOOSE($D$4,H39,H40,H41),"Missing input")</f>
        <v>0</v>
      </c>
      <c r="I38" s="1"/>
      <c r="J38" s="1" t="s">
        <v>112</v>
      </c>
      <c r="K38" s="1"/>
      <c r="L38" s="1"/>
    </row>
    <row r="39" spans="1:12" ht="19" customHeight="1">
      <c r="A39" s="1"/>
      <c r="B39" s="1"/>
      <c r="C39" s="1" t="s">
        <v>106</v>
      </c>
      <c r="D39" s="21">
        <v>-0.02</v>
      </c>
      <c r="E39" s="21">
        <v>-0.02</v>
      </c>
      <c r="F39" s="21">
        <v>-0.01</v>
      </c>
      <c r="G39" s="21">
        <v>0</v>
      </c>
      <c r="H39" s="21">
        <v>0</v>
      </c>
      <c r="I39" s="1"/>
      <c r="J39" s="1" t="s">
        <v>112</v>
      </c>
      <c r="K39" s="1"/>
      <c r="L39" s="1"/>
    </row>
    <row r="40" spans="1:12" ht="19" customHeight="1">
      <c r="A40" s="1"/>
      <c r="B40" s="1"/>
      <c r="C40" s="1" t="s">
        <v>107</v>
      </c>
      <c r="D40" s="21">
        <v>0</v>
      </c>
      <c r="E40" s="21">
        <v>0.01</v>
      </c>
      <c r="F40" s="21">
        <v>0.01</v>
      </c>
      <c r="G40" s="21">
        <v>0.01</v>
      </c>
      <c r="H40" s="21">
        <v>0.01</v>
      </c>
      <c r="I40" s="1"/>
      <c r="J40" s="1" t="s">
        <v>112</v>
      </c>
      <c r="K40" s="1"/>
      <c r="L40" s="1"/>
    </row>
    <row r="41" spans="1:12" ht="19" customHeight="1">
      <c r="A41" s="1"/>
      <c r="B41" s="1"/>
      <c r="C41" s="1" t="s">
        <v>108</v>
      </c>
      <c r="D41" s="21">
        <v>-0.05</v>
      </c>
      <c r="E41" s="21">
        <v>-0.05</v>
      </c>
      <c r="F41" s="21">
        <v>-0.04</v>
      </c>
      <c r="G41" s="21">
        <v>-0.03</v>
      </c>
      <c r="H41" s="21">
        <v>-0.02</v>
      </c>
      <c r="I41" s="1"/>
      <c r="J41" s="1" t="s">
        <v>112</v>
      </c>
      <c r="K41" s="1"/>
      <c r="L41" s="1"/>
    </row>
    <row r="42" spans="1:12" ht="19" customHeight="1">
      <c r="A42" s="1"/>
      <c r="B42" s="1"/>
      <c r="C42" s="1"/>
      <c r="D42" s="2"/>
      <c r="E42" s="2"/>
      <c r="F42" s="2"/>
      <c r="G42" s="2"/>
      <c r="H42" s="2"/>
      <c r="I42" s="1"/>
      <c r="J42" s="1"/>
      <c r="K42" s="1"/>
      <c r="L42" s="1"/>
    </row>
    <row r="43" spans="1:12" ht="19" customHeight="1">
      <c r="A43" s="1"/>
      <c r="B43" s="1"/>
      <c r="C43" s="14" t="s">
        <v>113</v>
      </c>
      <c r="D43" s="25">
        <f>IF(ISNUMBER(CHOOSE($D$4,D44,D45,D46)),CHOOSE($D$4,D44,D45,D46),"Missing input")</f>
        <v>0.16</v>
      </c>
      <c r="E43" s="25">
        <f>IF(ISNUMBER(CHOOSE($D$4,E44,E45,E46)),CHOOSE($D$4,E44,E45,E46),"Missing input")</f>
        <v>0.15</v>
      </c>
      <c r="F43" s="25">
        <f>IF(ISNUMBER(CHOOSE($D$4,F44,F45,F46)),CHOOSE($D$4,F44,F45,F46),"Missing input")</f>
        <v>0.13</v>
      </c>
      <c r="G43" s="25">
        <f>IF(ISNUMBER(CHOOSE($D$4,G44,G45,G46)),CHOOSE($D$4,G44,G45,G46),"Missing input")</f>
        <v>0.12</v>
      </c>
      <c r="H43" s="25">
        <f>IF(ISNUMBER(CHOOSE($D$4,H44,H45,H46)),CHOOSE($D$4,H44,H45,H46),"Missing input")</f>
        <v>0.1</v>
      </c>
      <c r="I43" s="1"/>
      <c r="J43" s="1" t="s">
        <v>114</v>
      </c>
      <c r="K43" s="1"/>
      <c r="L43" s="1"/>
    </row>
    <row r="44" spans="1:12" ht="19" customHeight="1">
      <c r="A44" s="1"/>
      <c r="B44" s="1"/>
      <c r="C44" s="1" t="s">
        <v>106</v>
      </c>
      <c r="D44" s="21">
        <v>0.16</v>
      </c>
      <c r="E44" s="21">
        <v>0.15</v>
      </c>
      <c r="F44" s="21">
        <v>0.13</v>
      </c>
      <c r="G44" s="21">
        <v>0.12</v>
      </c>
      <c r="H44" s="21">
        <v>0.1</v>
      </c>
      <c r="I44" s="1"/>
      <c r="J44" s="1" t="s">
        <v>114</v>
      </c>
      <c r="K44" s="1"/>
      <c r="L44" s="1"/>
    </row>
    <row r="45" spans="1:12" ht="19" customHeight="1">
      <c r="A45" s="1"/>
      <c r="B45" s="1"/>
      <c r="C45" s="1" t="s">
        <v>107</v>
      </c>
      <c r="D45" s="21">
        <v>0.2</v>
      </c>
      <c r="E45" s="21">
        <v>0.18</v>
      </c>
      <c r="F45" s="21">
        <v>0.16</v>
      </c>
      <c r="G45" s="21">
        <v>0.14000000000000001</v>
      </c>
      <c r="H45" s="21">
        <v>0.12</v>
      </c>
      <c r="I45" s="1"/>
      <c r="J45" s="1" t="s">
        <v>114</v>
      </c>
      <c r="K45" s="1"/>
      <c r="L45" s="1"/>
    </row>
    <row r="46" spans="1:12" ht="19" customHeight="1">
      <c r="A46" s="1"/>
      <c r="B46" s="1"/>
      <c r="C46" s="1" t="s">
        <v>108</v>
      </c>
      <c r="D46" s="21">
        <v>0.1</v>
      </c>
      <c r="E46" s="21">
        <v>0.09</v>
      </c>
      <c r="F46" s="21">
        <v>0.08</v>
      </c>
      <c r="G46" s="21">
        <v>7.0000000000000007E-2</v>
      </c>
      <c r="H46" s="21">
        <v>0.06</v>
      </c>
      <c r="I46" s="1"/>
      <c r="J46" s="1" t="s">
        <v>114</v>
      </c>
      <c r="K46" s="1"/>
      <c r="L46" s="1"/>
    </row>
    <row r="47" spans="1:12" ht="19" customHeight="1">
      <c r="A47" s="1"/>
      <c r="B47" s="1"/>
      <c r="C47" s="1"/>
      <c r="D47" s="2"/>
      <c r="E47" s="2"/>
      <c r="F47" s="2"/>
      <c r="G47" s="2"/>
      <c r="H47" s="2"/>
      <c r="I47" s="1"/>
      <c r="J47" s="1"/>
      <c r="K47" s="1"/>
      <c r="L47" s="1"/>
    </row>
    <row r="48" spans="1:12" ht="19" customHeight="1">
      <c r="A48" s="1"/>
      <c r="B48" s="1"/>
      <c r="C48" s="14" t="s">
        <v>115</v>
      </c>
      <c r="D48" s="25">
        <f>IF(ISNUMBER(CHOOSE($D$4,D49,D50,D51)),CHOOSE($D$4,D49,D50,D51),"Missing input")</f>
        <v>0.7</v>
      </c>
      <c r="E48" s="25">
        <f>IF(ISNUMBER(CHOOSE($D$4,E49,E50,E51)),CHOOSE($D$4,E49,E50,E51),"Missing input")</f>
        <v>0.5</v>
      </c>
      <c r="F48" s="25">
        <f>IF(ISNUMBER(CHOOSE($D$4,F49,F50,F51)),CHOOSE($D$4,F49,F50,F51),"Missing input")</f>
        <v>0.35</v>
      </c>
      <c r="G48" s="25">
        <f>IF(ISNUMBER(CHOOSE($D$4,G49,G50,G51)),CHOOSE($D$4,G49,G50,G51),"Missing input")</f>
        <v>0.28000000000000003</v>
      </c>
      <c r="H48" s="25">
        <f>IF(ISNUMBER(CHOOSE($D$4,H49,H50,H51)),CHOOSE($D$4,H49,H50,H51),"Missing input")</f>
        <v>0.22</v>
      </c>
      <c r="I48" s="1"/>
      <c r="J48" s="1" t="s">
        <v>116</v>
      </c>
      <c r="K48" s="1"/>
      <c r="L48" s="1"/>
    </row>
    <row r="49" spans="1:12" ht="19" customHeight="1">
      <c r="A49" s="1"/>
      <c r="B49" s="1"/>
      <c r="C49" s="1" t="s">
        <v>106</v>
      </c>
      <c r="D49" s="21">
        <v>0.7</v>
      </c>
      <c r="E49" s="21">
        <v>0.5</v>
      </c>
      <c r="F49" s="21">
        <v>0.35</v>
      </c>
      <c r="G49" s="21">
        <v>0.28000000000000003</v>
      </c>
      <c r="H49" s="21">
        <v>0.22</v>
      </c>
      <c r="I49" s="1"/>
      <c r="J49" s="1" t="s">
        <v>116</v>
      </c>
      <c r="K49" s="1"/>
      <c r="L49" s="1"/>
    </row>
    <row r="50" spans="1:12" ht="19" customHeight="1">
      <c r="A50" s="1"/>
      <c r="B50" s="1"/>
      <c r="C50" s="1" t="s">
        <v>107</v>
      </c>
      <c r="D50" s="21">
        <v>0.85</v>
      </c>
      <c r="E50" s="21">
        <v>0.6</v>
      </c>
      <c r="F50" s="21">
        <v>0.45</v>
      </c>
      <c r="G50" s="21">
        <v>0.35</v>
      </c>
      <c r="H50" s="21">
        <v>0.28000000000000003</v>
      </c>
      <c r="I50" s="1"/>
      <c r="J50" s="1" t="s">
        <v>116</v>
      </c>
      <c r="K50" s="1"/>
      <c r="L50" s="1"/>
    </row>
    <row r="51" spans="1:12" ht="19" customHeight="1">
      <c r="A51" s="1"/>
      <c r="B51" s="1"/>
      <c r="C51" s="1" t="s">
        <v>108</v>
      </c>
      <c r="D51" s="21">
        <v>0.45</v>
      </c>
      <c r="E51" s="21">
        <v>0.3</v>
      </c>
      <c r="F51" s="21">
        <v>0.25</v>
      </c>
      <c r="G51" s="21">
        <v>0.2</v>
      </c>
      <c r="H51" s="21">
        <v>0.15</v>
      </c>
      <c r="I51" s="1"/>
      <c r="J51" s="1" t="s">
        <v>116</v>
      </c>
      <c r="K51" s="1"/>
      <c r="L51" s="1"/>
    </row>
    <row r="52" spans="1:12" ht="19" customHeight="1">
      <c r="A52" s="1"/>
      <c r="B52" s="1"/>
      <c r="C52" s="1"/>
      <c r="D52" s="2"/>
      <c r="E52" s="2"/>
      <c r="F52" s="2"/>
      <c r="G52" s="2"/>
      <c r="H52" s="2"/>
      <c r="I52" s="1"/>
      <c r="J52" s="1"/>
      <c r="K52" s="1"/>
      <c r="L52" s="1"/>
    </row>
    <row r="53" spans="1:12" ht="19" customHeight="1">
      <c r="A53" s="1"/>
      <c r="B53" s="1"/>
      <c r="C53" s="14" t="s">
        <v>117</v>
      </c>
      <c r="D53" s="25">
        <f>IF(ISNUMBER(CHOOSE($D$4,D54,D55,D56)),CHOOSE($D$4,D54,D55,D56),"Missing input")</f>
        <v>0.1</v>
      </c>
      <c r="E53" s="25">
        <f>IF(ISNUMBER(CHOOSE($D$4,E54,E55,E56)),CHOOSE($D$4,E54,E55,E56),"Missing input")</f>
        <v>0.15</v>
      </c>
      <c r="F53" s="25">
        <f>IF(ISNUMBER(CHOOSE($D$4,F54,F55,F56)),CHOOSE($D$4,F54,F55,F56),"Missing input")</f>
        <v>0.15</v>
      </c>
      <c r="G53" s="25">
        <f>IF(ISNUMBER(CHOOSE($D$4,G54,G55,G56)),CHOOSE($D$4,G54,G55,G56),"Missing input")</f>
        <v>0.15</v>
      </c>
      <c r="H53" s="25">
        <f>IF(ISNUMBER(CHOOSE($D$4,H54,H55,H56)),CHOOSE($D$4,H54,H55,H56),"Missing input")</f>
        <v>0.15</v>
      </c>
      <c r="I53" s="1"/>
      <c r="J53" s="1" t="s">
        <v>118</v>
      </c>
      <c r="K53" s="1"/>
      <c r="L53" s="1"/>
    </row>
    <row r="54" spans="1:12" ht="19" customHeight="1">
      <c r="A54" s="1"/>
      <c r="B54" s="1"/>
      <c r="C54" s="1" t="s">
        <v>106</v>
      </c>
      <c r="D54" s="21">
        <v>0.1</v>
      </c>
      <c r="E54" s="21">
        <v>0.15</v>
      </c>
      <c r="F54" s="21">
        <v>0.15</v>
      </c>
      <c r="G54" s="21">
        <v>0.15</v>
      </c>
      <c r="H54" s="21">
        <v>0.15</v>
      </c>
      <c r="I54" s="1"/>
      <c r="J54" s="1" t="s">
        <v>118</v>
      </c>
      <c r="K54" s="1"/>
      <c r="L54" s="1"/>
    </row>
    <row r="55" spans="1:12" ht="19" customHeight="1">
      <c r="A55" s="1"/>
      <c r="B55" s="1"/>
      <c r="C55" s="1" t="s">
        <v>107</v>
      </c>
      <c r="D55" s="21">
        <v>0.2</v>
      </c>
      <c r="E55" s="21">
        <v>0.3</v>
      </c>
      <c r="F55" s="21">
        <v>0.3</v>
      </c>
      <c r="G55" s="21">
        <v>0.25</v>
      </c>
      <c r="H55" s="21">
        <v>0.2</v>
      </c>
      <c r="I55" s="1"/>
      <c r="J55" s="1" t="s">
        <v>118</v>
      </c>
      <c r="K55" s="1"/>
      <c r="L55" s="1"/>
    </row>
    <row r="56" spans="1:12" ht="19" customHeight="1">
      <c r="A56" s="1"/>
      <c r="B56" s="1"/>
      <c r="C56" s="1" t="s">
        <v>108</v>
      </c>
      <c r="D56" s="21">
        <v>0</v>
      </c>
      <c r="E56" s="21">
        <v>0.05</v>
      </c>
      <c r="F56" s="21">
        <v>0.05</v>
      </c>
      <c r="G56" s="21">
        <v>0.05</v>
      </c>
      <c r="H56" s="21">
        <v>0.05</v>
      </c>
      <c r="I56" s="1"/>
      <c r="J56" s="1" t="s">
        <v>118</v>
      </c>
      <c r="K56" s="1"/>
      <c r="L56" s="1"/>
    </row>
    <row r="57" spans="1:12" ht="19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14" t="s">
        <v>119</v>
      </c>
      <c r="D58" s="25">
        <f>IF(ISNUMBER(CHOOSE($D$4,D59,D60,D61)),CHOOSE($D$4,D59,D60,D61),"Missing input")</f>
        <v>0.41</v>
      </c>
      <c r="E58" s="25">
        <f>IF(ISNUMBER(CHOOSE($D$4,E59,E60,E61)),CHOOSE($D$4,E59,E60,E61),"Missing input")</f>
        <v>0.41</v>
      </c>
      <c r="F58" s="25">
        <f>IF(ISNUMBER(CHOOSE($D$4,F59,F60,F61)),CHOOSE($D$4,F59,F60,F61),"Missing input")</f>
        <v>0.42</v>
      </c>
      <c r="G58" s="25">
        <f>IF(ISNUMBER(CHOOSE($D$4,G59,G60,G61)),CHOOSE($D$4,G59,G60,G61),"Missing input")</f>
        <v>0.42</v>
      </c>
      <c r="H58" s="25">
        <f>IF(ISNUMBER(CHOOSE($D$4,H59,H60,H61)),CHOOSE($D$4,H59,H60,H61),"Missing input")</f>
        <v>0.42</v>
      </c>
      <c r="I58" s="1"/>
      <c r="J58" s="1" t="s">
        <v>120</v>
      </c>
      <c r="K58" s="1"/>
      <c r="L58" s="1"/>
    </row>
    <row r="59" spans="1:12" ht="19" customHeight="1">
      <c r="A59" s="1"/>
      <c r="B59" s="1"/>
      <c r="C59" s="1" t="s">
        <v>106</v>
      </c>
      <c r="D59" s="21">
        <v>0.41</v>
      </c>
      <c r="E59" s="21">
        <v>0.41</v>
      </c>
      <c r="F59" s="21">
        <v>0.42</v>
      </c>
      <c r="G59" s="21">
        <v>0.42</v>
      </c>
      <c r="H59" s="21">
        <v>0.42</v>
      </c>
      <c r="I59" s="1"/>
      <c r="J59" s="1" t="s">
        <v>120</v>
      </c>
      <c r="K59" s="1"/>
      <c r="L59" s="1"/>
    </row>
    <row r="60" spans="1:12" ht="19" customHeight="1">
      <c r="A60" s="1"/>
      <c r="B60" s="1"/>
      <c r="C60" s="1" t="s">
        <v>107</v>
      </c>
      <c r="D60" s="21">
        <v>0.43</v>
      </c>
      <c r="E60" s="21">
        <v>0.44</v>
      </c>
      <c r="F60" s="21">
        <v>0.45</v>
      </c>
      <c r="G60" s="21">
        <v>0.45</v>
      </c>
      <c r="H60" s="21">
        <v>0.45</v>
      </c>
      <c r="I60" s="1"/>
      <c r="J60" s="1" t="s">
        <v>120</v>
      </c>
      <c r="K60" s="1"/>
      <c r="L60" s="1"/>
    </row>
    <row r="61" spans="1:12" ht="19" customHeight="1">
      <c r="A61" s="1"/>
      <c r="B61" s="1"/>
      <c r="C61" s="1" t="s">
        <v>108</v>
      </c>
      <c r="D61" s="21">
        <v>0.38</v>
      </c>
      <c r="E61" s="21">
        <v>0.37</v>
      </c>
      <c r="F61" s="21">
        <v>0.37</v>
      </c>
      <c r="G61" s="21">
        <v>0.37</v>
      </c>
      <c r="H61" s="21">
        <v>0.37</v>
      </c>
      <c r="I61" s="1"/>
      <c r="J61" s="1" t="s">
        <v>120</v>
      </c>
      <c r="K61" s="1"/>
      <c r="L61" s="1"/>
    </row>
    <row r="62" spans="1:12" ht="19" customHeight="1">
      <c r="A62" s="1"/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</row>
    <row r="63" spans="1:12" ht="19" customHeight="1">
      <c r="A63" s="1"/>
      <c r="B63" s="1"/>
      <c r="C63" s="14" t="s">
        <v>121</v>
      </c>
      <c r="D63" s="25">
        <f>IF(ISNUMBER(CHOOSE($D$4,D64,D65,D66)),CHOOSE($D$4,D64,D65,D66),"Missing input")</f>
        <v>0.34</v>
      </c>
      <c r="E63" s="25">
        <f>IF(ISNUMBER(CHOOSE($D$4,E64,E65,E66)),CHOOSE($D$4,E64,E65,E66),"Missing input")</f>
        <v>0.33</v>
      </c>
      <c r="F63" s="25">
        <f>IF(ISNUMBER(CHOOSE($D$4,F64,F65,F66)),CHOOSE($D$4,F64,F65,F66),"Missing input")</f>
        <v>0.34</v>
      </c>
      <c r="G63" s="25">
        <f>IF(ISNUMBER(CHOOSE($D$4,G64,G65,G66)),CHOOSE($D$4,G64,G65,G66),"Missing input")</f>
        <v>0.35</v>
      </c>
      <c r="H63" s="25">
        <f>IF(ISNUMBER(CHOOSE($D$4,H64,H65,H66)),CHOOSE($D$4,H64,H65,H66),"Missing input")</f>
        <v>0.36</v>
      </c>
      <c r="I63" s="1"/>
      <c r="J63" s="1" t="s">
        <v>122</v>
      </c>
      <c r="K63" s="1"/>
      <c r="L63" s="1"/>
    </row>
    <row r="64" spans="1:12" ht="19" customHeight="1">
      <c r="A64" s="1"/>
      <c r="B64" s="1"/>
      <c r="C64" s="1" t="s">
        <v>106</v>
      </c>
      <c r="D64" s="21">
        <v>0.34</v>
      </c>
      <c r="E64" s="21">
        <v>0.33</v>
      </c>
      <c r="F64" s="21">
        <v>0.34</v>
      </c>
      <c r="G64" s="21">
        <v>0.35</v>
      </c>
      <c r="H64" s="21">
        <v>0.36</v>
      </c>
      <c r="I64" s="1"/>
      <c r="J64" s="1" t="s">
        <v>122</v>
      </c>
      <c r="K64" s="1"/>
      <c r="L64" s="1"/>
    </row>
    <row r="65" spans="1:12" ht="19" customHeight="1">
      <c r="A65" s="1"/>
      <c r="B65" s="1"/>
      <c r="C65" s="1" t="s">
        <v>107</v>
      </c>
      <c r="D65" s="21">
        <v>0.36</v>
      </c>
      <c r="E65" s="21">
        <v>0.37</v>
      </c>
      <c r="F65" s="21">
        <v>0.38</v>
      </c>
      <c r="G65" s="21">
        <v>0.39</v>
      </c>
      <c r="H65" s="21">
        <v>0.4</v>
      </c>
      <c r="I65" s="1"/>
      <c r="J65" s="1" t="s">
        <v>122</v>
      </c>
      <c r="K65" s="1"/>
      <c r="L65" s="1"/>
    </row>
    <row r="66" spans="1:12" ht="19" customHeight="1">
      <c r="A66" s="1"/>
      <c r="B66" s="1"/>
      <c r="C66" s="1" t="s">
        <v>108</v>
      </c>
      <c r="D66" s="21">
        <v>0.28000000000000003</v>
      </c>
      <c r="E66" s="21">
        <v>0.27</v>
      </c>
      <c r="F66" s="21">
        <v>0.28000000000000003</v>
      </c>
      <c r="G66" s="21">
        <v>0.28999999999999998</v>
      </c>
      <c r="H66" s="21">
        <v>0.3</v>
      </c>
      <c r="I66" s="1"/>
      <c r="J66" s="1" t="s">
        <v>122</v>
      </c>
      <c r="K66" s="1"/>
      <c r="L66" s="1"/>
    </row>
    <row r="67" spans="1:12" ht="19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</row>
    <row r="68" spans="1:12" ht="19" customHeight="1">
      <c r="A68" s="1"/>
      <c r="B68" s="1"/>
      <c r="C68" s="14" t="s">
        <v>123</v>
      </c>
      <c r="D68" s="25">
        <f>IF(ISNUMBER(CHOOSE($D$4,D69,D70,D71)),CHOOSE($D$4,D69,D70,D71),"Missing input")</f>
        <v>-4.5</v>
      </c>
      <c r="E68" s="25">
        <f>IF(ISNUMBER(CHOOSE($D$4,E69,E70,E71)),CHOOSE($D$4,E69,E70,E71),"Missing input")</f>
        <v>-4</v>
      </c>
      <c r="F68" s="25">
        <f>IF(ISNUMBER(CHOOSE($D$4,F69,F70,F71)),CHOOSE($D$4,F69,F70,F71),"Missing input")</f>
        <v>-3</v>
      </c>
      <c r="G68" s="25">
        <f>IF(ISNUMBER(CHOOSE($D$4,G69,G70,G71)),CHOOSE($D$4,G69,G70,G71),"Missing input")</f>
        <v>-2</v>
      </c>
      <c r="H68" s="25">
        <f>IF(ISNUMBER(CHOOSE($D$4,H69,H70,H71)),CHOOSE($D$4,H69,H70,H71),"Missing input")</f>
        <v>-1</v>
      </c>
      <c r="I68" s="1"/>
      <c r="J68" s="1" t="s">
        <v>124</v>
      </c>
      <c r="K68" s="1"/>
      <c r="L68" s="1"/>
    </row>
    <row r="69" spans="1:12" ht="19" customHeight="1">
      <c r="A69" s="1"/>
      <c r="B69" s="1"/>
      <c r="C69" s="1" t="s">
        <v>106</v>
      </c>
      <c r="D69" s="21">
        <v>-4.5</v>
      </c>
      <c r="E69" s="21">
        <v>-4</v>
      </c>
      <c r="F69" s="21">
        <v>-3</v>
      </c>
      <c r="G69" s="21">
        <v>-2</v>
      </c>
      <c r="H69" s="21">
        <v>-1</v>
      </c>
      <c r="I69" s="1"/>
      <c r="J69" s="1" t="s">
        <v>124</v>
      </c>
      <c r="K69" s="1"/>
      <c r="L69" s="1"/>
    </row>
    <row r="70" spans="1:12" ht="19" customHeight="1">
      <c r="A70" s="1"/>
      <c r="B70" s="1"/>
      <c r="C70" s="1" t="s">
        <v>107</v>
      </c>
      <c r="D70" s="21">
        <v>-4</v>
      </c>
      <c r="E70" s="21">
        <v>-3</v>
      </c>
      <c r="F70" s="21">
        <v>-2</v>
      </c>
      <c r="G70" s="21">
        <v>-1</v>
      </c>
      <c r="H70" s="21">
        <v>0</v>
      </c>
      <c r="I70" s="1"/>
      <c r="J70" s="1" t="s">
        <v>124</v>
      </c>
      <c r="K70" s="1"/>
      <c r="L70" s="1"/>
    </row>
    <row r="71" spans="1:12" ht="19" customHeight="1">
      <c r="A71" s="1"/>
      <c r="B71" s="1"/>
      <c r="C71" s="1" t="s">
        <v>108</v>
      </c>
      <c r="D71" s="21">
        <v>-5</v>
      </c>
      <c r="E71" s="21">
        <v>-5</v>
      </c>
      <c r="F71" s="21">
        <v>-4</v>
      </c>
      <c r="G71" s="21">
        <v>-3</v>
      </c>
      <c r="H71" s="21">
        <v>-2</v>
      </c>
      <c r="I71" s="1"/>
      <c r="J71" s="1" t="s">
        <v>124</v>
      </c>
      <c r="K71" s="1"/>
      <c r="L71" s="1"/>
    </row>
    <row r="72" spans="1:12" ht="19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</row>
    <row r="73" spans="1:12" ht="19" customHeight="1">
      <c r="A73" s="1"/>
      <c r="B73" s="1"/>
      <c r="C73" s="14" t="s">
        <v>125</v>
      </c>
      <c r="D73" s="25">
        <f>IF(ISNUMBER(CHOOSE($D$4,D74,D75,D76)),CHOOSE($D$4,D74,D75,D76),"Missing input")</f>
        <v>0.05</v>
      </c>
      <c r="E73" s="25">
        <f>IF(ISNUMBER(CHOOSE($D$4,E74,E75,E76)),CHOOSE($D$4,E74,E75,E76),"Missing input")</f>
        <v>0.05</v>
      </c>
      <c r="F73" s="25">
        <f>IF(ISNUMBER(CHOOSE($D$4,F74,F75,F76)),CHOOSE($D$4,F74,F75,F76),"Missing input")</f>
        <v>4.4999999999999998E-2</v>
      </c>
      <c r="G73" s="25">
        <f>IF(ISNUMBER(CHOOSE($D$4,G74,G75,G76)),CHOOSE($D$4,G74,G75,G76),"Missing input")</f>
        <v>0.04</v>
      </c>
      <c r="H73" s="25">
        <f>IF(ISNUMBER(CHOOSE($D$4,H74,H75,H76)),CHOOSE($D$4,H74,H75,H76),"Missing input")</f>
        <v>0.04</v>
      </c>
      <c r="I73" s="1"/>
      <c r="J73" s="1" t="s">
        <v>126</v>
      </c>
      <c r="K73" s="1"/>
      <c r="L73" s="1"/>
    </row>
    <row r="74" spans="1:12" ht="19" customHeight="1">
      <c r="A74" s="1"/>
      <c r="B74" s="1"/>
      <c r="C74" s="1" t="s">
        <v>106</v>
      </c>
      <c r="D74" s="21">
        <v>0.05</v>
      </c>
      <c r="E74" s="21">
        <v>0.05</v>
      </c>
      <c r="F74" s="21">
        <v>4.4999999999999998E-2</v>
      </c>
      <c r="G74" s="21">
        <v>0.04</v>
      </c>
      <c r="H74" s="21">
        <v>0.04</v>
      </c>
      <c r="I74" s="1"/>
      <c r="J74" s="1" t="s">
        <v>126</v>
      </c>
      <c r="K74" s="1"/>
      <c r="L74" s="1"/>
    </row>
    <row r="75" spans="1:12" ht="19" customHeight="1">
      <c r="A75" s="1"/>
      <c r="B75" s="1"/>
      <c r="C75" s="1" t="s">
        <v>107</v>
      </c>
      <c r="D75" s="21">
        <v>4.4999999999999998E-2</v>
      </c>
      <c r="E75" s="21">
        <v>0.04</v>
      </c>
      <c r="F75" s="21">
        <v>3.5000000000000003E-2</v>
      </c>
      <c r="G75" s="21">
        <v>0.03</v>
      </c>
      <c r="H75" s="21">
        <v>0.03</v>
      </c>
      <c r="I75" s="1"/>
      <c r="J75" s="1" t="s">
        <v>126</v>
      </c>
      <c r="K75" s="1"/>
      <c r="L75" s="1"/>
    </row>
    <row r="76" spans="1:12" ht="19" customHeight="1">
      <c r="A76" s="1"/>
      <c r="B76" s="1"/>
      <c r="C76" s="1" t="s">
        <v>108</v>
      </c>
      <c r="D76" s="21">
        <v>0.06</v>
      </c>
      <c r="E76" s="21">
        <v>0.06</v>
      </c>
      <c r="F76" s="21">
        <v>0.06</v>
      </c>
      <c r="G76" s="21">
        <v>5.5E-2</v>
      </c>
      <c r="H76" s="21">
        <v>0.05</v>
      </c>
      <c r="I76" s="1"/>
      <c r="J76" s="1" t="s">
        <v>126</v>
      </c>
      <c r="K76" s="1"/>
      <c r="L76" s="1"/>
    </row>
    <row r="77" spans="1:12" ht="19" customHeight="1">
      <c r="A77" s="1"/>
      <c r="B77" s="1"/>
      <c r="C77" s="1"/>
      <c r="D77" s="2"/>
      <c r="E77" s="2"/>
      <c r="F77" s="2"/>
      <c r="G77" s="2"/>
      <c r="H77" s="2"/>
      <c r="I77" s="1"/>
      <c r="J77" s="1"/>
      <c r="K77" s="1"/>
      <c r="L77" s="1"/>
    </row>
    <row r="78" spans="1:12" ht="19" customHeight="1">
      <c r="A78" s="1"/>
      <c r="B78" s="1"/>
      <c r="C78" s="14" t="s">
        <v>127</v>
      </c>
      <c r="D78" s="25">
        <f>IF(ISNUMBER(CHOOSE($D$4,D79,D80,D81)),CHOOSE($D$4,D79,D80,D81),"Missing input")</f>
        <v>7.0000000000000007E-2</v>
      </c>
      <c r="E78" s="25">
        <f>IF(ISNUMBER(CHOOSE($D$4,E79,E80,E81)),CHOOSE($D$4,E79,E80,E81),"Missing input")</f>
        <v>0.1</v>
      </c>
      <c r="F78" s="25">
        <f>IF(ISNUMBER(CHOOSE($D$4,F79,F80,F81)),CHOOSE($D$4,F79,F80,F81),"Missing input")</f>
        <v>0.12</v>
      </c>
      <c r="G78" s="25">
        <f>IF(ISNUMBER(CHOOSE($D$4,G79,G80,G81)),CHOOSE($D$4,G79,G80,G81),"Missing input")</f>
        <v>0.13</v>
      </c>
      <c r="H78" s="25">
        <f>IF(ISNUMBER(CHOOSE($D$4,H79,H80,H81)),CHOOSE($D$4,H79,H80,H81),"Missing input")</f>
        <v>0.13</v>
      </c>
      <c r="I78" s="1"/>
      <c r="J78" s="1" t="s">
        <v>128</v>
      </c>
      <c r="K78" s="1"/>
      <c r="L78" s="1"/>
    </row>
    <row r="79" spans="1:12" ht="19" customHeight="1">
      <c r="A79" s="1"/>
      <c r="B79" s="1"/>
      <c r="C79" s="1" t="s">
        <v>106</v>
      </c>
      <c r="D79" s="21">
        <v>7.0000000000000007E-2</v>
      </c>
      <c r="E79" s="21">
        <v>0.1</v>
      </c>
      <c r="F79" s="21">
        <v>0.12</v>
      </c>
      <c r="G79" s="21">
        <v>0.13</v>
      </c>
      <c r="H79" s="21">
        <v>0.13</v>
      </c>
      <c r="I79" s="1"/>
      <c r="J79" s="1" t="s">
        <v>128</v>
      </c>
      <c r="K79" s="1"/>
      <c r="L79" s="1"/>
    </row>
    <row r="80" spans="1:12" ht="19" customHeight="1">
      <c r="A80" s="1"/>
      <c r="B80" s="1"/>
      <c r="C80" s="1" t="s">
        <v>107</v>
      </c>
      <c r="D80" s="21">
        <v>6.5000000000000002E-2</v>
      </c>
      <c r="E80" s="21">
        <v>0.09</v>
      </c>
      <c r="F80" s="21">
        <v>0.11</v>
      </c>
      <c r="G80" s="21">
        <v>0.12</v>
      </c>
      <c r="H80" s="21">
        <v>0.12</v>
      </c>
      <c r="I80" s="1"/>
      <c r="J80" s="1" t="s">
        <v>128</v>
      </c>
      <c r="K80" s="1"/>
      <c r="L80" s="1"/>
    </row>
    <row r="81" spans="1:12" ht="19" customHeight="1">
      <c r="A81" s="1"/>
      <c r="B81" s="1"/>
      <c r="C81" s="1" t="s">
        <v>108</v>
      </c>
      <c r="D81" s="21">
        <v>0.08</v>
      </c>
      <c r="E81" s="21">
        <v>0.11</v>
      </c>
      <c r="F81" s="21">
        <v>0.13</v>
      </c>
      <c r="G81" s="21">
        <v>0.14000000000000001</v>
      </c>
      <c r="H81" s="21">
        <v>0.14000000000000001</v>
      </c>
      <c r="I81" s="1"/>
      <c r="J81" s="1" t="s">
        <v>128</v>
      </c>
      <c r="K81" s="1"/>
      <c r="L81" s="1"/>
    </row>
    <row r="82" spans="1:12" ht="19" customHeight="1">
      <c r="A82" s="1"/>
      <c r="B82" s="1"/>
      <c r="C82" s="1"/>
      <c r="D82" s="2"/>
      <c r="E82" s="2"/>
      <c r="F82" s="2"/>
      <c r="G82" s="2"/>
      <c r="H82" s="2"/>
      <c r="I82" s="1"/>
      <c r="J82" s="1"/>
      <c r="K82" s="1"/>
      <c r="L82" s="1"/>
    </row>
    <row r="83" spans="1:12" ht="19" customHeight="1">
      <c r="A83" s="1"/>
      <c r="B83" s="1"/>
      <c r="C83" s="14" t="s">
        <v>129</v>
      </c>
      <c r="D83" s="25" t="s">
        <v>130</v>
      </c>
      <c r="E83" s="25">
        <f>IF(ISNUMBER(CHOOSE($D$4,E84,E85,E86)),CHOOSE($D$4,E84,E85,E86),"Missing input")</f>
        <v>0.46</v>
      </c>
      <c r="F83" s="25">
        <f>IF(ISNUMBER(CHOOSE($D$4,F84,F85,F86)),CHOOSE($D$4,F84,F85,F86),"Missing input")</f>
        <v>0.36</v>
      </c>
      <c r="G83" s="25">
        <f>IF(ISNUMBER(CHOOSE($D$4,G84,G85,G86)),CHOOSE($D$4,G84,G85,G86),"Missing input")</f>
        <v>0.26</v>
      </c>
      <c r="H83" s="25">
        <f>IF(ISNUMBER(CHOOSE($D$4,H84,H85,H86)),CHOOSE($D$4,H84,H85,H86),"Missing input")</f>
        <v>0.19</v>
      </c>
      <c r="I83" s="1"/>
      <c r="J83" s="1" t="s">
        <v>131</v>
      </c>
      <c r="K83" s="1"/>
      <c r="L83" s="1"/>
    </row>
    <row r="84" spans="1:12" ht="19" customHeight="1">
      <c r="A84" s="1"/>
      <c r="B84" s="1"/>
      <c r="C84" s="1" t="s">
        <v>106</v>
      </c>
      <c r="D84" s="26"/>
      <c r="E84" s="21">
        <v>0.46</v>
      </c>
      <c r="F84" s="21">
        <v>0.36</v>
      </c>
      <c r="G84" s="21">
        <v>0.26</v>
      </c>
      <c r="H84" s="21">
        <v>0.19</v>
      </c>
      <c r="I84" s="1"/>
      <c r="J84" s="1" t="s">
        <v>131</v>
      </c>
      <c r="K84" s="1"/>
      <c r="L84" s="1"/>
    </row>
    <row r="85" spans="1:12" ht="19" customHeight="1">
      <c r="A85" s="1"/>
      <c r="B85" s="1"/>
      <c r="C85" s="1" t="s">
        <v>107</v>
      </c>
      <c r="D85" s="26"/>
      <c r="E85" s="21">
        <v>0.4</v>
      </c>
      <c r="F85" s="21">
        <v>0.3</v>
      </c>
      <c r="G85" s="21">
        <v>0.22</v>
      </c>
      <c r="H85" s="21">
        <v>0.16</v>
      </c>
      <c r="I85" s="1"/>
      <c r="J85" s="1" t="s">
        <v>131</v>
      </c>
      <c r="K85" s="1"/>
      <c r="L85" s="1"/>
    </row>
    <row r="86" spans="1:12" ht="19" customHeight="1">
      <c r="A86" s="1"/>
      <c r="B86" s="1"/>
      <c r="C86" s="1" t="s">
        <v>108</v>
      </c>
      <c r="D86" s="26"/>
      <c r="E86" s="21">
        <v>0.5</v>
      </c>
      <c r="F86" s="21">
        <v>0.42</v>
      </c>
      <c r="G86" s="21">
        <v>0.34</v>
      </c>
      <c r="H86" s="21">
        <v>0.26</v>
      </c>
      <c r="I86" s="1"/>
      <c r="J86" s="1" t="s">
        <v>131</v>
      </c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14" t="s">
        <v>132</v>
      </c>
      <c r="D88" s="25">
        <f>IF(ISNUMBER(CHOOSE($D$4,D89,D90,D91)),CHOOSE($D$4,D89,D90,D91),"Missing input")</f>
        <v>0.1</v>
      </c>
      <c r="E88" s="25">
        <f>IF(ISNUMBER(CHOOSE($D$4,E89,E90,E91)),CHOOSE($D$4,E89,E90,E91),"Missing input")</f>
        <v>0.1</v>
      </c>
      <c r="F88" s="25">
        <f>IF(ISNUMBER(CHOOSE($D$4,F89,F90,F91)),CHOOSE($D$4,F89,F90,F91),"Missing input")</f>
        <v>0.1</v>
      </c>
      <c r="G88" s="25">
        <f>IF(ISNUMBER(CHOOSE($D$4,G89,G90,G91)),CHOOSE($D$4,G89,G90,G91),"Missing input")</f>
        <v>0.1</v>
      </c>
      <c r="H88" s="25">
        <f>IF(ISNUMBER(CHOOSE($D$4,H89,H90,H91)),CHOOSE($D$4,H89,H90,H91),"Missing input")</f>
        <v>0.1</v>
      </c>
      <c r="I88" s="1"/>
      <c r="J88" s="1" t="s">
        <v>133</v>
      </c>
      <c r="K88" s="1"/>
      <c r="L88" s="1"/>
    </row>
    <row r="89" spans="1:12" ht="19" customHeight="1">
      <c r="A89" s="1"/>
      <c r="B89" s="1"/>
      <c r="C89" s="1" t="s">
        <v>106</v>
      </c>
      <c r="D89" s="21">
        <v>0.1</v>
      </c>
      <c r="E89" s="21">
        <v>0.1</v>
      </c>
      <c r="F89" s="21">
        <v>0.1</v>
      </c>
      <c r="G89" s="21">
        <v>0.1</v>
      </c>
      <c r="H89" s="21">
        <v>0.1</v>
      </c>
      <c r="I89" s="1"/>
      <c r="J89" s="1" t="s">
        <v>133</v>
      </c>
      <c r="K89" s="1"/>
      <c r="L89" s="1"/>
    </row>
    <row r="90" spans="1:12" ht="19" customHeight="1">
      <c r="A90" s="1"/>
      <c r="B90" s="1"/>
      <c r="C90" s="1" t="s">
        <v>107</v>
      </c>
      <c r="D90" s="21">
        <v>0.09</v>
      </c>
      <c r="E90" s="21">
        <v>0.09</v>
      </c>
      <c r="F90" s="21">
        <v>0.09</v>
      </c>
      <c r="G90" s="21">
        <v>0.09</v>
      </c>
      <c r="H90" s="21">
        <v>0.09</v>
      </c>
      <c r="I90" s="1"/>
      <c r="J90" s="1" t="s">
        <v>133</v>
      </c>
      <c r="K90" s="1"/>
      <c r="L90" s="1"/>
    </row>
    <row r="91" spans="1:12" ht="19" customHeight="1">
      <c r="A91" s="1"/>
      <c r="B91" s="1"/>
      <c r="C91" s="1" t="s">
        <v>108</v>
      </c>
      <c r="D91" s="21">
        <v>0.12</v>
      </c>
      <c r="E91" s="21">
        <v>0.12</v>
      </c>
      <c r="F91" s="21">
        <v>0.12</v>
      </c>
      <c r="G91" s="21">
        <v>0.12</v>
      </c>
      <c r="H91" s="21">
        <v>0.12</v>
      </c>
      <c r="I91" s="1"/>
      <c r="J91" s="1" t="s">
        <v>133</v>
      </c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19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</row>
    <row r="94" spans="1:12" ht="19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</row>
    <row r="95" spans="1:12" ht="19" customHeight="1">
      <c r="A95" s="1"/>
      <c r="B95" s="1"/>
      <c r="C95" s="1"/>
      <c r="D95" s="2"/>
      <c r="E95" s="2"/>
      <c r="F95" s="2"/>
      <c r="G95" s="2"/>
      <c r="H95" s="2"/>
      <c r="I95" s="1"/>
      <c r="J95" s="1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19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dataValidations count="1">
    <dataValidation type="list" sqref="D4" xr:uid="{00000000-0002-0000-0100-000000000000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9334D"/>
  </sheetPr>
  <dimension ref="A1:L190"/>
  <sheetViews>
    <sheetView showGridLines="0" workbookViewId="0"/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134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19" customHeight="1">
      <c r="A6" s="1"/>
      <c r="B6" s="1"/>
      <c r="C6" s="1" t="s">
        <v>64</v>
      </c>
      <c r="D6" s="31">
        <f>Assumptions!D6</f>
        <v>46312</v>
      </c>
      <c r="E6" s="2"/>
      <c r="F6" s="2" t="s">
        <v>135</v>
      </c>
      <c r="G6" s="36">
        <f>Assumptions!D7</f>
        <v>340.59</v>
      </c>
      <c r="H6" s="2"/>
      <c r="I6" s="1"/>
      <c r="J6" s="1"/>
      <c r="K6" s="1"/>
      <c r="L6" s="1"/>
    </row>
    <row r="7" spans="1:12" ht="19" customHeight="1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spans="1:12" ht="19" customHeight="1">
      <c r="A8" s="1"/>
      <c r="B8" s="1"/>
      <c r="C8" s="9" t="s">
        <v>136</v>
      </c>
      <c r="D8" s="10" t="s">
        <v>137</v>
      </c>
      <c r="E8" s="10" t="s">
        <v>138</v>
      </c>
      <c r="F8" s="10" t="s">
        <v>139</v>
      </c>
      <c r="G8" s="10" t="s">
        <v>140</v>
      </c>
      <c r="H8" s="2"/>
      <c r="I8" s="1"/>
      <c r="J8" s="1"/>
      <c r="K8" s="1"/>
      <c r="L8" s="1"/>
    </row>
    <row r="9" spans="1:12" ht="19" customHeight="1">
      <c r="A9" s="1"/>
      <c r="B9" s="1"/>
      <c r="C9" s="14" t="s">
        <v>141</v>
      </c>
      <c r="D9" s="41">
        <f>Sensitivity!E16</f>
        <v>158.91956089630858</v>
      </c>
      <c r="E9" s="41">
        <f>DCF!D51</f>
        <v>212.65234753731744</v>
      </c>
      <c r="F9" s="41">
        <f>Sensitivity!G10</f>
        <v>312.30693811940796</v>
      </c>
      <c r="G9" s="41">
        <f>Assumptions!D7</f>
        <v>340.59</v>
      </c>
      <c r="H9" s="16"/>
      <c r="I9" s="1"/>
      <c r="J9" s="1"/>
      <c r="K9" s="1"/>
      <c r="L9" s="1"/>
    </row>
    <row r="10" spans="1:12" ht="19" customHeight="1">
      <c r="A10" s="1"/>
      <c r="B10" s="1"/>
      <c r="C10" s="1" t="s">
        <v>142</v>
      </c>
      <c r="D10" s="36">
        <f>Multiples!D59</f>
        <v>397.7570941446653</v>
      </c>
      <c r="E10" s="36">
        <f>Multiples!E59</f>
        <v>528.72437643248361</v>
      </c>
      <c r="F10" s="36">
        <f>Multiples!F59</f>
        <v>586.40102970464432</v>
      </c>
      <c r="G10" s="36">
        <f>Assumptions!D7</f>
        <v>340.59</v>
      </c>
      <c r="H10" s="2"/>
      <c r="I10" s="1"/>
      <c r="J10" s="1"/>
      <c r="K10" s="1"/>
      <c r="L10" s="1"/>
    </row>
    <row r="11" spans="1:12" ht="19" customHeight="1">
      <c r="A11" s="1"/>
      <c r="B11" s="1"/>
      <c r="C11" s="1" t="s">
        <v>143</v>
      </c>
      <c r="D11" s="36">
        <f>Multiples!D60</f>
        <v>133.9071842427625</v>
      </c>
      <c r="E11" s="36">
        <f>Multiples!E60</f>
        <v>293.83206968582164</v>
      </c>
      <c r="F11" s="36">
        <f>Multiples!F60</f>
        <v>434.4369113806942</v>
      </c>
      <c r="G11" s="36">
        <f>Assumptions!D7</f>
        <v>340.59</v>
      </c>
      <c r="H11" s="2"/>
      <c r="I11" s="1"/>
      <c r="J11" s="1"/>
      <c r="K11" s="1"/>
      <c r="L11" s="1"/>
    </row>
    <row r="12" spans="1:12" ht="19" customHeight="1">
      <c r="A12" s="1"/>
      <c r="B12" s="1"/>
      <c r="C12" s="1" t="s">
        <v>144</v>
      </c>
      <c r="D12" s="36">
        <f>Multiples!D61</f>
        <v>240.95073684765467</v>
      </c>
      <c r="E12" s="36">
        <f>Multiples!E61</f>
        <v>273.29739170927058</v>
      </c>
      <c r="F12" s="36">
        <f>Multiples!F61</f>
        <v>297.06764535693384</v>
      </c>
      <c r="G12" s="36">
        <f>Assumptions!D7</f>
        <v>340.59</v>
      </c>
      <c r="H12" s="2"/>
      <c r="I12" s="1"/>
      <c r="J12" s="1"/>
      <c r="K12" s="1"/>
      <c r="L12" s="1"/>
    </row>
    <row r="13" spans="1:12" ht="19" customHeight="1">
      <c r="A13" s="1"/>
      <c r="B13" s="1"/>
      <c r="C13" s="1" t="s">
        <v>145</v>
      </c>
      <c r="D13" s="36">
        <f>Multiples!D62</f>
        <v>312.36298007507941</v>
      </c>
      <c r="E13" s="36">
        <f>Multiples!E62</f>
        <v>364.83253588516749</v>
      </c>
      <c r="F13" s="36">
        <f>Multiples!F62</f>
        <v>370.94310344827585</v>
      </c>
      <c r="G13" s="36">
        <f>Assumptions!D7</f>
        <v>340.59</v>
      </c>
      <c r="H13" s="2"/>
      <c r="I13" s="1"/>
      <c r="J13" s="1"/>
      <c r="K13" s="1"/>
      <c r="L13" s="1"/>
    </row>
    <row r="14" spans="1:12" ht="19" customHeight="1">
      <c r="A14" s="1"/>
      <c r="B14" s="1"/>
      <c r="C14" s="1"/>
      <c r="D14" s="2"/>
      <c r="E14" s="2"/>
      <c r="F14" s="2"/>
      <c r="G14" s="2"/>
      <c r="H14" s="2"/>
      <c r="I14" s="1"/>
      <c r="J14" s="1"/>
      <c r="K14" s="1"/>
      <c r="L14" s="1"/>
    </row>
    <row r="15" spans="1:12" ht="19" customHeight="1">
      <c r="A15" s="1"/>
      <c r="B15" s="1"/>
      <c r="C15" s="1" t="s">
        <v>146</v>
      </c>
      <c r="D15" s="28">
        <f>DCF!D15</f>
        <v>9.7468733664970011E-2</v>
      </c>
      <c r="E15" s="2"/>
      <c r="F15" s="2"/>
      <c r="G15" s="2"/>
      <c r="H15" s="2"/>
      <c r="I15" s="1"/>
      <c r="J15" s="1"/>
      <c r="K15" s="1"/>
      <c r="L15" s="1"/>
    </row>
    <row r="16" spans="1:12" ht="19" customHeight="1">
      <c r="A16" s="1"/>
      <c r="B16" s="1"/>
      <c r="C16" s="1" t="s">
        <v>80</v>
      </c>
      <c r="D16" s="28">
        <f>Assumptions!D14</f>
        <v>0.03</v>
      </c>
      <c r="E16" s="2"/>
      <c r="F16" s="2"/>
      <c r="G16" s="2"/>
      <c r="H16" s="2"/>
      <c r="I16" s="1"/>
      <c r="J16" s="1"/>
      <c r="K16" s="1"/>
      <c r="L16" s="1"/>
    </row>
    <row r="17" spans="1:12" ht="19" customHeight="1">
      <c r="A17" s="1"/>
      <c r="B17" s="1"/>
      <c r="C17" s="1" t="s">
        <v>147</v>
      </c>
      <c r="D17" s="28">
        <f>DCF!D40</f>
        <v>0.94021050469179634</v>
      </c>
      <c r="E17" s="2"/>
      <c r="F17" s="2"/>
      <c r="G17" s="2"/>
      <c r="H17" s="2"/>
      <c r="I17" s="1"/>
      <c r="J17" s="1"/>
      <c r="K17" s="1"/>
      <c r="L17" s="1"/>
    </row>
    <row r="18" spans="1:12" ht="19" customHeight="1">
      <c r="A18" s="1"/>
      <c r="B18" s="1"/>
      <c r="C18" s="1" t="s">
        <v>148</v>
      </c>
      <c r="D18" s="28">
        <f>DCF!D52</f>
        <v>-0.37563537526845336</v>
      </c>
      <c r="E18" s="2"/>
      <c r="F18" s="2"/>
      <c r="G18" s="2"/>
      <c r="H18" s="2"/>
      <c r="I18" s="1"/>
      <c r="J18" s="1"/>
      <c r="K18" s="1"/>
      <c r="L18" s="1"/>
    </row>
    <row r="19" spans="1:12" ht="19" customHeight="1">
      <c r="A19" s="1"/>
      <c r="B19" s="1"/>
      <c r="C19" s="1"/>
      <c r="D19" s="2"/>
      <c r="E19" s="2"/>
      <c r="F19" s="2"/>
      <c r="G19" s="2"/>
      <c r="H19" s="2"/>
      <c r="I19" s="1"/>
      <c r="J19" s="1"/>
      <c r="K19" s="1"/>
      <c r="L19" s="1"/>
    </row>
    <row r="20" spans="1:12" ht="19" customHeight="1">
      <c r="A20" s="1"/>
      <c r="B20" s="1"/>
      <c r="C20" s="1" t="s">
        <v>149</v>
      </c>
      <c r="D20" s="5">
        <f>Projections!H15</f>
        <v>880073.90251389623</v>
      </c>
      <c r="E20" s="2"/>
      <c r="F20" s="2"/>
      <c r="G20" s="2"/>
      <c r="H20" s="2"/>
      <c r="I20" s="1"/>
      <c r="J20" s="1"/>
      <c r="K20" s="1"/>
      <c r="L20" s="1"/>
    </row>
    <row r="21" spans="1:12" ht="19" customHeight="1">
      <c r="A21" s="1"/>
      <c r="B21" s="1"/>
      <c r="C21" s="1" t="s">
        <v>150</v>
      </c>
      <c r="D21" s="28">
        <f>Assumptions!E83</f>
        <v>0.46</v>
      </c>
      <c r="E21" s="2"/>
      <c r="F21" s="2"/>
      <c r="G21" s="2"/>
      <c r="H21" s="2"/>
      <c r="I21" s="1"/>
      <c r="J21" s="1"/>
      <c r="K21" s="1"/>
      <c r="L21" s="1"/>
    </row>
    <row r="22" spans="1:12" ht="19" customHeight="1">
      <c r="A22" s="1"/>
      <c r="B22" s="1"/>
      <c r="C22" s="1" t="s">
        <v>151</v>
      </c>
      <c r="D22" s="5">
        <f>Projections!E40</f>
        <v>-68108.003142400063</v>
      </c>
      <c r="E22" s="2"/>
      <c r="F22" s="2"/>
      <c r="G22" s="2"/>
      <c r="H22" s="2"/>
      <c r="I22" s="1"/>
      <c r="J22" s="1"/>
      <c r="K22" s="1"/>
      <c r="L22" s="1"/>
    </row>
    <row r="23" spans="1:12" ht="19" customHeight="1">
      <c r="A23" s="1"/>
      <c r="B23" s="1"/>
      <c r="C23" s="1" t="s">
        <v>152</v>
      </c>
      <c r="D23" s="38">
        <f>Sensitivity!D23</f>
        <v>1.660939547528119</v>
      </c>
      <c r="E23" s="2"/>
      <c r="F23" s="2"/>
      <c r="G23" s="2"/>
      <c r="H23" s="2"/>
      <c r="I23" s="1"/>
      <c r="J23" s="1"/>
      <c r="K23" s="1"/>
      <c r="L23" s="1"/>
    </row>
    <row r="24" spans="1:12" ht="19" customHeight="1">
      <c r="A24" s="1"/>
      <c r="B24" s="1"/>
      <c r="C24" s="1"/>
      <c r="D24" s="2"/>
      <c r="E24" s="2"/>
      <c r="F24" s="2"/>
      <c r="G24" s="2"/>
      <c r="H24" s="2"/>
      <c r="I24" s="1"/>
      <c r="J24" s="1"/>
      <c r="K24" s="1"/>
      <c r="L24" s="1"/>
    </row>
    <row r="25" spans="1:12" ht="19" customHeight="1">
      <c r="A25" s="1"/>
      <c r="B25" s="1"/>
      <c r="C25" s="1"/>
      <c r="D25" s="2"/>
      <c r="E25" s="2"/>
      <c r="F25" s="2"/>
      <c r="G25" s="2"/>
      <c r="H25" s="2"/>
      <c r="I25" s="1"/>
      <c r="J25" s="1"/>
      <c r="K25" s="1"/>
      <c r="L25" s="1"/>
    </row>
    <row r="26" spans="1:12" ht="30" customHeight="1">
      <c r="A26" s="1"/>
      <c r="B26" s="1"/>
      <c r="C26" s="42" t="s">
        <v>153</v>
      </c>
      <c r="D26" s="43"/>
      <c r="E26" s="43"/>
      <c r="F26" s="43"/>
      <c r="G26" s="43"/>
      <c r="H26" s="43"/>
      <c r="I26" s="42"/>
      <c r="J26" s="42"/>
      <c r="K26" s="1"/>
      <c r="L26" s="1"/>
    </row>
    <row r="27" spans="1:12" ht="19" customHeight="1">
      <c r="A27" s="1"/>
      <c r="B27" s="1"/>
      <c r="C27" s="1"/>
      <c r="D27" s="2"/>
      <c r="E27" s="2"/>
      <c r="F27" s="2"/>
      <c r="G27" s="2"/>
      <c r="H27" s="2"/>
      <c r="I27" s="1"/>
      <c r="J27" s="1"/>
      <c r="K27" s="1"/>
      <c r="L27" s="1"/>
    </row>
    <row r="28" spans="1:12" ht="30" customHeight="1">
      <c r="A28" s="1"/>
      <c r="B28" s="1"/>
      <c r="C28" s="42" t="s">
        <v>154</v>
      </c>
      <c r="D28" s="43"/>
      <c r="E28" s="43"/>
      <c r="F28" s="43"/>
      <c r="G28" s="43"/>
      <c r="H28" s="43"/>
      <c r="I28" s="42"/>
      <c r="J28" s="42"/>
      <c r="K28" s="1"/>
      <c r="L28" s="1"/>
    </row>
    <row r="29" spans="1:12" ht="19" customHeight="1">
      <c r="A29" s="1"/>
      <c r="B29" s="1"/>
      <c r="C29" s="1"/>
      <c r="D29" s="2"/>
      <c r="E29" s="2"/>
      <c r="F29" s="2"/>
      <c r="G29" s="2"/>
      <c r="H29" s="2"/>
      <c r="I29" s="1"/>
      <c r="J29" s="1"/>
      <c r="K29" s="1"/>
      <c r="L29" s="1"/>
    </row>
    <row r="30" spans="1:12" ht="30" customHeight="1">
      <c r="A30" s="1"/>
      <c r="B30" s="1"/>
      <c r="C30" s="42" t="s">
        <v>155</v>
      </c>
      <c r="D30" s="43"/>
      <c r="E30" s="43"/>
      <c r="F30" s="43"/>
      <c r="G30" s="43"/>
      <c r="H30" s="43"/>
      <c r="I30" s="42"/>
      <c r="J30" s="42"/>
      <c r="K30" s="1"/>
      <c r="L30" s="1"/>
    </row>
    <row r="31" spans="1:12" ht="19" customHeight="1">
      <c r="A31" s="1"/>
      <c r="B31" s="1"/>
      <c r="C31" s="1"/>
      <c r="D31" s="2"/>
      <c r="E31" s="2"/>
      <c r="F31" s="2"/>
      <c r="G31" s="2"/>
      <c r="H31" s="2"/>
      <c r="I31" s="1"/>
      <c r="J31" s="1"/>
      <c r="K31" s="1"/>
      <c r="L31" s="1"/>
    </row>
    <row r="32" spans="1:12" ht="19" customHeight="1">
      <c r="A32" s="1"/>
      <c r="B32" s="1"/>
      <c r="C32" s="1"/>
      <c r="D32" s="2"/>
      <c r="E32" s="2"/>
      <c r="F32" s="2"/>
      <c r="G32" s="2"/>
      <c r="H32" s="2"/>
      <c r="I32" s="1"/>
      <c r="J32" s="1"/>
      <c r="K32" s="1"/>
      <c r="L32" s="1"/>
    </row>
    <row r="33" spans="1:12" ht="19" customHeight="1">
      <c r="A33" s="1"/>
      <c r="B33" s="1"/>
      <c r="C33" s="1"/>
      <c r="D33" s="2"/>
      <c r="E33" s="2"/>
      <c r="F33" s="2"/>
      <c r="G33" s="2"/>
      <c r="H33" s="2"/>
      <c r="I33" s="1"/>
      <c r="J33" s="1"/>
      <c r="K33" s="1"/>
      <c r="L33" s="1"/>
    </row>
    <row r="34" spans="1:12" ht="19" customHeight="1">
      <c r="A34" s="1"/>
      <c r="B34" s="1"/>
      <c r="C34" s="1"/>
      <c r="D34" s="2"/>
      <c r="E34" s="2"/>
      <c r="F34" s="2"/>
      <c r="G34" s="2"/>
      <c r="H34" s="2"/>
      <c r="I34" s="1"/>
      <c r="J34" s="1"/>
      <c r="K34" s="1"/>
      <c r="L34" s="1"/>
    </row>
    <row r="35" spans="1:12" ht="19" customHeight="1">
      <c r="A35" s="1"/>
      <c r="B35" s="1"/>
      <c r="C35" s="1"/>
      <c r="D35" s="2"/>
      <c r="E35" s="2"/>
      <c r="F35" s="2"/>
      <c r="G35" s="2"/>
      <c r="H35" s="2"/>
      <c r="I35" s="1"/>
      <c r="J35" s="1"/>
      <c r="K35" s="1"/>
      <c r="L35" s="1"/>
    </row>
    <row r="36" spans="1:12" ht="19" customHeight="1">
      <c r="A36" s="1"/>
      <c r="B36" s="1"/>
      <c r="C36" s="1"/>
      <c r="D36" s="2"/>
      <c r="E36" s="2"/>
      <c r="F36" s="2"/>
      <c r="G36" s="2"/>
      <c r="H36" s="2"/>
      <c r="I36" s="1"/>
      <c r="J36" s="1"/>
      <c r="K36" s="1"/>
      <c r="L36" s="1"/>
    </row>
    <row r="37" spans="1:12" ht="19" customHeight="1">
      <c r="A37" s="1"/>
      <c r="B37" s="1"/>
      <c r="C37" s="1"/>
      <c r="D37" s="2"/>
      <c r="E37" s="2"/>
      <c r="F37" s="2"/>
      <c r="G37" s="2"/>
      <c r="H37" s="2"/>
      <c r="I37" s="1"/>
      <c r="J37" s="1"/>
      <c r="K37" s="1"/>
      <c r="L37" s="1"/>
    </row>
    <row r="38" spans="1:12" ht="19" customHeight="1">
      <c r="A38" s="1"/>
      <c r="B38" s="1"/>
      <c r="C38" s="1"/>
      <c r="D38" s="2"/>
      <c r="E38" s="2"/>
      <c r="F38" s="2"/>
      <c r="G38" s="2"/>
      <c r="H38" s="2"/>
      <c r="I38" s="1"/>
      <c r="J38" s="1"/>
      <c r="K38" s="1"/>
      <c r="L38" s="1"/>
    </row>
    <row r="39" spans="1:12" ht="19" customHeight="1">
      <c r="A39" s="1"/>
      <c r="B39" s="1"/>
      <c r="C39" s="1"/>
      <c r="D39" s="2"/>
      <c r="E39" s="2"/>
      <c r="F39" s="2"/>
      <c r="G39" s="2"/>
      <c r="H39" s="2"/>
      <c r="I39" s="1"/>
      <c r="J39" s="1"/>
      <c r="K39" s="1"/>
      <c r="L39" s="1"/>
    </row>
    <row r="40" spans="1:12" ht="19" customHeight="1">
      <c r="A40" s="1"/>
      <c r="B40" s="1"/>
      <c r="C40" s="1"/>
      <c r="D40" s="2"/>
      <c r="E40" s="2"/>
      <c r="F40" s="2"/>
      <c r="G40" s="2"/>
      <c r="H40" s="2"/>
      <c r="I40" s="1"/>
      <c r="J40" s="1"/>
      <c r="K40" s="1"/>
      <c r="L40" s="1"/>
    </row>
    <row r="41" spans="1:12" ht="19" customHeight="1">
      <c r="A41" s="1"/>
      <c r="B41" s="1"/>
      <c r="C41" s="1"/>
      <c r="D41" s="2"/>
      <c r="E41" s="2"/>
      <c r="F41" s="2"/>
      <c r="G41" s="2"/>
      <c r="H41" s="2"/>
      <c r="I41" s="1"/>
      <c r="J41" s="1"/>
      <c r="K41" s="1"/>
      <c r="L41" s="1"/>
    </row>
    <row r="42" spans="1:12" ht="19" customHeight="1">
      <c r="A42" s="1"/>
      <c r="B42" s="1"/>
      <c r="C42" s="1"/>
      <c r="D42" s="2"/>
      <c r="E42" s="2"/>
      <c r="F42" s="2"/>
      <c r="G42" s="2"/>
      <c r="H42" s="2"/>
      <c r="I42" s="1"/>
      <c r="J42" s="1"/>
      <c r="K42" s="1"/>
      <c r="L42" s="1"/>
    </row>
    <row r="43" spans="1:12" ht="19" customHeight="1">
      <c r="A43" s="1"/>
      <c r="B43" s="1"/>
      <c r="C43" s="1"/>
      <c r="D43" s="2"/>
      <c r="E43" s="2"/>
      <c r="F43" s="2"/>
      <c r="G43" s="2"/>
      <c r="H43" s="2"/>
      <c r="I43" s="1"/>
      <c r="J43" s="1"/>
      <c r="K43" s="1"/>
      <c r="L43" s="1"/>
    </row>
    <row r="44" spans="1:12" ht="19" customHeight="1">
      <c r="A44" s="1"/>
      <c r="B44" s="1"/>
      <c r="C44" s="1"/>
      <c r="D44" s="2"/>
      <c r="E44" s="2"/>
      <c r="F44" s="2"/>
      <c r="G44" s="2"/>
      <c r="H44" s="2"/>
      <c r="I44" s="1"/>
      <c r="J44" s="1"/>
      <c r="K44" s="1"/>
      <c r="L44" s="1"/>
    </row>
    <row r="45" spans="1:12" ht="19" customHeight="1">
      <c r="A45" s="1"/>
      <c r="B45" s="1"/>
      <c r="C45" s="1"/>
      <c r="D45" s="2"/>
      <c r="E45" s="2"/>
      <c r="F45" s="2"/>
      <c r="G45" s="2"/>
      <c r="H45" s="2"/>
      <c r="I45" s="1"/>
      <c r="J45" s="1"/>
      <c r="K45" s="1"/>
      <c r="L45" s="1"/>
    </row>
    <row r="46" spans="1:12" ht="19" customHeight="1">
      <c r="A46" s="1"/>
      <c r="B46" s="1"/>
      <c r="C46" s="1"/>
      <c r="D46" s="2"/>
      <c r="E46" s="2"/>
      <c r="F46" s="2"/>
      <c r="G46" s="2"/>
      <c r="H46" s="2"/>
      <c r="I46" s="1"/>
      <c r="J46" s="1"/>
      <c r="K46" s="1"/>
      <c r="L46" s="1"/>
    </row>
    <row r="47" spans="1:12" ht="19" customHeight="1">
      <c r="A47" s="1"/>
      <c r="B47" s="1"/>
      <c r="C47" s="1"/>
      <c r="D47" s="2"/>
      <c r="E47" s="2"/>
      <c r="F47" s="2"/>
      <c r="G47" s="2"/>
      <c r="H47" s="2"/>
      <c r="I47" s="1"/>
      <c r="J47" s="1"/>
      <c r="K47" s="1"/>
      <c r="L47" s="1"/>
    </row>
    <row r="48" spans="1:12" ht="19" customHeight="1">
      <c r="A48" s="1"/>
      <c r="B48" s="1"/>
      <c r="C48" s="1"/>
      <c r="D48" s="2"/>
      <c r="E48" s="2"/>
      <c r="F48" s="2"/>
      <c r="G48" s="2"/>
      <c r="H48" s="2"/>
      <c r="I48" s="1"/>
      <c r="J48" s="1"/>
      <c r="K48" s="1"/>
      <c r="L48" s="1"/>
    </row>
    <row r="49" spans="1:12" ht="19" customHeight="1">
      <c r="A49" s="1"/>
      <c r="B49" s="1"/>
      <c r="C49" s="1"/>
      <c r="D49" s="2"/>
      <c r="E49" s="2"/>
      <c r="F49" s="2"/>
      <c r="G49" s="2"/>
      <c r="H49" s="2"/>
      <c r="I49" s="1"/>
      <c r="J49" s="1"/>
      <c r="K49" s="1"/>
      <c r="L49" s="1"/>
    </row>
    <row r="50" spans="1:12" ht="19" customHeight="1">
      <c r="A50" s="1"/>
      <c r="B50" s="1"/>
      <c r="C50" s="1"/>
      <c r="D50" s="2"/>
      <c r="E50" s="2"/>
      <c r="F50" s="2"/>
      <c r="G50" s="2"/>
      <c r="H50" s="2"/>
      <c r="I50" s="1"/>
      <c r="J50" s="1"/>
      <c r="K50" s="1"/>
      <c r="L50" s="1"/>
    </row>
    <row r="51" spans="1:12" ht="19" customHeight="1">
      <c r="A51" s="1"/>
      <c r="B51" s="1"/>
      <c r="C51" s="1"/>
      <c r="D51" s="2"/>
      <c r="E51" s="2"/>
      <c r="F51" s="2"/>
      <c r="G51" s="2"/>
      <c r="H51" s="2"/>
      <c r="I51" s="1"/>
      <c r="J51" s="1"/>
      <c r="K51" s="1"/>
      <c r="L51" s="1"/>
    </row>
    <row r="52" spans="1:12" ht="19" customHeight="1">
      <c r="A52" s="1"/>
      <c r="B52" s="1"/>
      <c r="C52" s="1"/>
      <c r="D52" s="2"/>
      <c r="E52" s="2"/>
      <c r="F52" s="2"/>
      <c r="G52" s="2"/>
      <c r="H52" s="2"/>
      <c r="I52" s="1"/>
      <c r="J52" s="1"/>
      <c r="K52" s="1"/>
      <c r="L52" s="1"/>
    </row>
    <row r="53" spans="1:12" ht="19" customHeight="1">
      <c r="A53" s="1"/>
      <c r="B53" s="1"/>
      <c r="C53" s="1"/>
      <c r="D53" s="2"/>
      <c r="E53" s="2"/>
      <c r="F53" s="2"/>
      <c r="G53" s="2"/>
      <c r="H53" s="2"/>
      <c r="I53" s="1"/>
      <c r="J53" s="1"/>
      <c r="K53" s="1"/>
      <c r="L53" s="1"/>
    </row>
    <row r="54" spans="1:12" ht="19" customHeight="1">
      <c r="A54" s="1"/>
      <c r="B54" s="1"/>
      <c r="C54" s="1"/>
      <c r="D54" s="2"/>
      <c r="E54" s="2"/>
      <c r="F54" s="2"/>
      <c r="G54" s="2"/>
      <c r="H54" s="2"/>
      <c r="I54" s="1"/>
      <c r="J54" s="1"/>
      <c r="K54" s="1"/>
      <c r="L54" s="1"/>
    </row>
    <row r="55" spans="1:12" ht="19" customHeight="1">
      <c r="A55" s="1"/>
      <c r="B55" s="1"/>
      <c r="C55" s="1"/>
      <c r="D55" s="2"/>
      <c r="E55" s="2"/>
      <c r="F55" s="2"/>
      <c r="G55" s="2"/>
      <c r="H55" s="2"/>
      <c r="I55" s="1"/>
      <c r="J55" s="1"/>
      <c r="K55" s="1"/>
      <c r="L55" s="1"/>
    </row>
    <row r="56" spans="1:12" ht="19" customHeight="1">
      <c r="A56" s="1"/>
      <c r="B56" s="1"/>
      <c r="C56" s="1"/>
      <c r="D56" s="2"/>
      <c r="E56" s="2"/>
      <c r="F56" s="2"/>
      <c r="G56" s="2"/>
      <c r="H56" s="2"/>
      <c r="I56" s="1"/>
      <c r="J56" s="1"/>
      <c r="K56" s="1"/>
      <c r="L56" s="1"/>
    </row>
    <row r="57" spans="1:12" ht="19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</row>
    <row r="59" spans="1:12" ht="19" customHeight="1">
      <c r="A59" s="1"/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</row>
    <row r="60" spans="1:12" ht="19" customHeight="1">
      <c r="A60" s="1"/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</row>
    <row r="61" spans="1:12" ht="19" customHeight="1">
      <c r="A61" s="1"/>
      <c r="B61" s="1"/>
      <c r="C61" s="1"/>
      <c r="D61" s="2"/>
      <c r="E61" s="2"/>
      <c r="F61" s="2"/>
      <c r="G61" s="2"/>
      <c r="H61" s="2"/>
      <c r="I61" s="1"/>
      <c r="J61" s="1"/>
      <c r="K61" s="1"/>
      <c r="L61" s="1"/>
    </row>
    <row r="62" spans="1:12" ht="19" customHeight="1">
      <c r="A62" s="1"/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</row>
    <row r="63" spans="1:12" ht="19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</row>
    <row r="64" spans="1:12" ht="19" customHeight="1">
      <c r="A64" s="1"/>
      <c r="B64" s="1"/>
      <c r="C64" s="1"/>
      <c r="D64" s="2"/>
      <c r="E64" s="2"/>
      <c r="F64" s="2"/>
      <c r="G64" s="2"/>
      <c r="H64" s="2"/>
      <c r="I64" s="1"/>
      <c r="J64" s="1"/>
      <c r="K64" s="1"/>
      <c r="L64" s="1"/>
    </row>
    <row r="65" spans="1:12" ht="19" customHeight="1">
      <c r="A65" s="1"/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</row>
    <row r="66" spans="1:12" ht="19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</row>
    <row r="67" spans="1:12" ht="19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</row>
    <row r="68" spans="1:12" ht="19" customHeight="1">
      <c r="A68" s="1"/>
      <c r="B68" s="1"/>
      <c r="C68" s="1"/>
      <c r="D68" s="2"/>
      <c r="E68" s="2"/>
      <c r="F68" s="2"/>
      <c r="G68" s="2"/>
      <c r="H68" s="2"/>
      <c r="I68" s="1"/>
      <c r="J68" s="1"/>
      <c r="K68" s="1"/>
      <c r="L68" s="1"/>
    </row>
    <row r="69" spans="1:12" ht="19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</row>
    <row r="70" spans="1:12" ht="19" customHeight="1">
      <c r="A70" s="1"/>
      <c r="B70" s="1"/>
      <c r="C70" s="1"/>
      <c r="D70" s="2"/>
      <c r="E70" s="2"/>
      <c r="F70" s="2"/>
      <c r="G70" s="2"/>
      <c r="H70" s="2"/>
      <c r="I70" s="1"/>
      <c r="J70" s="1"/>
      <c r="K70" s="1"/>
      <c r="L70" s="1"/>
    </row>
    <row r="71" spans="1:12" ht="19" customHeight="1">
      <c r="A71" s="1"/>
      <c r="B71" s="1"/>
      <c r="C71" s="1"/>
      <c r="D71" s="2"/>
      <c r="E71" s="2"/>
      <c r="F71" s="2"/>
      <c r="G71" s="2"/>
      <c r="H71" s="2"/>
      <c r="I71" s="1"/>
      <c r="J71" s="1"/>
      <c r="K71" s="1"/>
      <c r="L71" s="1"/>
    </row>
    <row r="72" spans="1:12" ht="19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</row>
    <row r="73" spans="1:12" ht="19" customHeight="1">
      <c r="A73" s="1"/>
      <c r="B73" s="1"/>
      <c r="C73" s="1"/>
      <c r="D73" s="2"/>
      <c r="E73" s="2"/>
      <c r="F73" s="2"/>
      <c r="G73" s="2"/>
      <c r="H73" s="2"/>
      <c r="I73" s="1"/>
      <c r="J73" s="1"/>
      <c r="K73" s="1"/>
      <c r="L73" s="1"/>
    </row>
    <row r="74" spans="1:12" ht="19" customHeight="1">
      <c r="A74" s="1"/>
      <c r="B74" s="1"/>
      <c r="C74" s="1"/>
      <c r="D74" s="2"/>
      <c r="E74" s="2"/>
      <c r="F74" s="2"/>
      <c r="G74" s="2"/>
      <c r="H74" s="2"/>
      <c r="I74" s="1"/>
      <c r="J74" s="1"/>
      <c r="K74" s="1"/>
      <c r="L74" s="1"/>
    </row>
    <row r="75" spans="1:12" ht="19" customHeight="1">
      <c r="A75" s="1"/>
      <c r="B75" s="1"/>
      <c r="C75" s="1"/>
      <c r="D75" s="2"/>
      <c r="E75" s="2"/>
      <c r="F75" s="2"/>
      <c r="G75" s="2"/>
      <c r="H75" s="2"/>
      <c r="I75" s="1"/>
      <c r="J75" s="1"/>
      <c r="K75" s="1"/>
      <c r="L75" s="1"/>
    </row>
    <row r="76" spans="1:12" ht="19" customHeight="1">
      <c r="A76" s="1"/>
      <c r="B76" s="1"/>
      <c r="C76" s="1"/>
      <c r="D76" s="2"/>
      <c r="E76" s="2"/>
      <c r="F76" s="2"/>
      <c r="G76" s="2"/>
      <c r="H76" s="2"/>
      <c r="I76" s="1"/>
      <c r="J76" s="1"/>
      <c r="K76" s="1"/>
      <c r="L76" s="1"/>
    </row>
    <row r="77" spans="1:12" ht="19" customHeight="1">
      <c r="A77" s="1"/>
      <c r="B77" s="1"/>
      <c r="C77" s="1"/>
      <c r="D77" s="2"/>
      <c r="E77" s="2"/>
      <c r="F77" s="2"/>
      <c r="G77" s="2"/>
      <c r="H77" s="2"/>
      <c r="I77" s="1"/>
      <c r="J77" s="1"/>
      <c r="K77" s="1"/>
      <c r="L77" s="1"/>
    </row>
    <row r="78" spans="1:12" ht="19" customHeight="1">
      <c r="A78" s="1"/>
      <c r="B78" s="1"/>
      <c r="C78" s="1"/>
      <c r="D78" s="2"/>
      <c r="E78" s="2"/>
      <c r="F78" s="2"/>
      <c r="G78" s="2"/>
      <c r="H78" s="2"/>
      <c r="I78" s="1"/>
      <c r="J78" s="1"/>
      <c r="K78" s="1"/>
      <c r="L78" s="1"/>
    </row>
    <row r="79" spans="1:12" ht="19" customHeight="1">
      <c r="A79" s="1"/>
      <c r="B79" s="1"/>
      <c r="C79" s="1"/>
      <c r="D79" s="2"/>
      <c r="E79" s="2"/>
      <c r="F79" s="2"/>
      <c r="G79" s="2"/>
      <c r="H79" s="2"/>
      <c r="I79" s="1"/>
      <c r="J79" s="1"/>
      <c r="K79" s="1"/>
      <c r="L79" s="1"/>
    </row>
    <row r="80" spans="1:12" ht="19" customHeight="1">
      <c r="A80" s="1"/>
      <c r="B80" s="1"/>
      <c r="C80" s="1"/>
      <c r="D80" s="2"/>
      <c r="E80" s="2"/>
      <c r="F80" s="2"/>
      <c r="G80" s="2"/>
      <c r="H80" s="2"/>
      <c r="I80" s="1"/>
      <c r="J80" s="1"/>
      <c r="K80" s="1"/>
      <c r="L80" s="1"/>
    </row>
    <row r="81" spans="1:12" ht="19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</row>
    <row r="82" spans="1:12" ht="19" customHeight="1">
      <c r="A82" s="1"/>
      <c r="B82" s="1"/>
      <c r="C82" s="1"/>
      <c r="D82" s="2"/>
      <c r="E82" s="2"/>
      <c r="F82" s="2"/>
      <c r="G82" s="2"/>
      <c r="H82" s="2"/>
      <c r="I82" s="1"/>
      <c r="J82" s="1"/>
      <c r="K82" s="1"/>
      <c r="L82" s="1"/>
    </row>
    <row r="83" spans="1:12" ht="19" customHeight="1">
      <c r="A83" s="1"/>
      <c r="B83" s="1"/>
      <c r="C83" s="1"/>
      <c r="D83" s="2"/>
      <c r="E83" s="2"/>
      <c r="F83" s="2"/>
      <c r="G83" s="2"/>
      <c r="H83" s="2"/>
      <c r="I83" s="1"/>
      <c r="J83" s="1"/>
      <c r="K83" s="1"/>
      <c r="L83" s="1"/>
    </row>
    <row r="84" spans="1:12" ht="19" customHeight="1">
      <c r="A84" s="1"/>
      <c r="B84" s="1"/>
      <c r="C84" s="1"/>
      <c r="D84" s="2"/>
      <c r="E84" s="2"/>
      <c r="F84" s="2"/>
      <c r="G84" s="2"/>
      <c r="H84" s="2"/>
      <c r="I84" s="1"/>
      <c r="J84" s="1"/>
      <c r="K84" s="1"/>
      <c r="L84" s="1"/>
    </row>
    <row r="85" spans="1:12" ht="19" customHeight="1">
      <c r="A85" s="1"/>
      <c r="B85" s="1"/>
      <c r="C85" s="1"/>
      <c r="D85" s="2"/>
      <c r="E85" s="2"/>
      <c r="F85" s="2"/>
      <c r="G85" s="2"/>
      <c r="H85" s="2"/>
      <c r="I85" s="1"/>
      <c r="J85" s="1"/>
      <c r="K85" s="1"/>
      <c r="L85" s="1"/>
    </row>
    <row r="86" spans="1:12" ht="19" customHeight="1">
      <c r="A86" s="1"/>
      <c r="B86" s="1"/>
      <c r="C86" s="1"/>
      <c r="D86" s="2"/>
      <c r="E86" s="2"/>
      <c r="F86" s="2"/>
      <c r="G86" s="2"/>
      <c r="H86" s="2"/>
      <c r="I86" s="1"/>
      <c r="J86" s="1"/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1"/>
      <c r="D88" s="2"/>
      <c r="E88" s="2"/>
      <c r="F88" s="2"/>
      <c r="G88" s="2"/>
      <c r="H88" s="2"/>
      <c r="I88" s="1"/>
      <c r="J88" s="1"/>
      <c r="K88" s="1"/>
      <c r="L88" s="1"/>
    </row>
    <row r="89" spans="1:12" ht="19" customHeight="1">
      <c r="A89" s="1"/>
      <c r="B89" s="1"/>
      <c r="C89" s="1"/>
      <c r="D89" s="2"/>
      <c r="E89" s="2"/>
      <c r="F89" s="2"/>
      <c r="G89" s="2"/>
      <c r="H89" s="2"/>
      <c r="I89" s="1"/>
      <c r="J89" s="1"/>
      <c r="K89" s="1"/>
      <c r="L89" s="1"/>
    </row>
    <row r="90" spans="1:12" ht="19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</row>
    <row r="91" spans="1:12" ht="19" customHeight="1">
      <c r="A91" s="1"/>
      <c r="B91" s="1"/>
      <c r="C91" s="1"/>
      <c r="D91" s="2"/>
      <c r="E91" s="2"/>
      <c r="F91" s="2"/>
      <c r="G91" s="2"/>
      <c r="H91" s="2"/>
      <c r="I91" s="1"/>
      <c r="J91" s="1"/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19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</row>
    <row r="94" spans="1:12" ht="19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</row>
    <row r="95" spans="1:12" ht="19" customHeight="1">
      <c r="A95" s="1"/>
      <c r="B95" s="1"/>
      <c r="C95" s="1"/>
      <c r="D95" s="2"/>
      <c r="E95" s="2"/>
      <c r="F95" s="2"/>
      <c r="G95" s="2"/>
      <c r="H95" s="2"/>
      <c r="I95" s="1"/>
      <c r="J95" s="1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19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mergeCells count="3">
    <mergeCell ref="C26:J26"/>
    <mergeCell ref="C28:J28"/>
    <mergeCell ref="C30:J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C8AC"/>
  </sheetPr>
  <dimension ref="A1:L190"/>
  <sheetViews>
    <sheetView showGridLines="0" workbookViewId="0">
      <pane ySplit="6" topLeftCell="A7" activePane="bottomLeft" state="frozen"/>
      <selection pane="bottomLeft"/>
    </sheetView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156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19" customHeight="1">
      <c r="A6" s="1"/>
      <c r="B6" s="1"/>
      <c r="C6" s="9" t="s">
        <v>157</v>
      </c>
      <c r="D6" s="10" t="s">
        <v>158</v>
      </c>
      <c r="E6" s="10" t="s">
        <v>159</v>
      </c>
      <c r="F6" s="10" t="s">
        <v>160</v>
      </c>
      <c r="G6" s="10" t="s">
        <v>161</v>
      </c>
      <c r="H6" s="10" t="s">
        <v>162</v>
      </c>
      <c r="I6" s="1"/>
      <c r="J6" s="1" t="s">
        <v>163</v>
      </c>
      <c r="K6" s="1"/>
      <c r="L6" s="1"/>
    </row>
    <row r="7" spans="1:12" ht="19" customHeight="1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spans="1:12" ht="19" customHeight="1">
      <c r="A8" s="1"/>
      <c r="B8" s="1"/>
      <c r="C8" s="1" t="s">
        <v>164</v>
      </c>
      <c r="D8" s="11">
        <v>175033</v>
      </c>
      <c r="E8" s="11">
        <v>198084</v>
      </c>
      <c r="F8" s="11">
        <v>224532</v>
      </c>
      <c r="G8" s="11">
        <v>104892</v>
      </c>
      <c r="H8" s="11">
        <v>123670</v>
      </c>
      <c r="I8" s="1"/>
      <c r="J8" s="1" t="s">
        <v>165</v>
      </c>
      <c r="K8" s="1"/>
      <c r="L8" s="1"/>
    </row>
    <row r="9" spans="1:12" ht="19" customHeight="1">
      <c r="A9" s="1"/>
      <c r="B9" s="1"/>
      <c r="C9" s="1" t="s">
        <v>166</v>
      </c>
      <c r="D9" s="11">
        <v>31510</v>
      </c>
      <c r="E9" s="11">
        <v>36147</v>
      </c>
      <c r="F9" s="11">
        <v>40367</v>
      </c>
      <c r="G9" s="11">
        <v>18723</v>
      </c>
      <c r="H9" s="11">
        <v>20938</v>
      </c>
      <c r="I9" s="1"/>
      <c r="J9" s="1" t="s">
        <v>165</v>
      </c>
      <c r="K9" s="1"/>
      <c r="L9" s="1"/>
    </row>
    <row r="10" spans="1:12" ht="19" customHeight="1">
      <c r="A10" s="1"/>
      <c r="B10" s="1"/>
      <c r="C10" s="1" t="s">
        <v>167</v>
      </c>
      <c r="D10" s="11">
        <v>31312</v>
      </c>
      <c r="E10" s="11">
        <v>30359</v>
      </c>
      <c r="F10" s="11">
        <v>29792</v>
      </c>
      <c r="G10" s="11">
        <v>14610</v>
      </c>
      <c r="H10" s="11">
        <v>14274</v>
      </c>
      <c r="I10" s="1"/>
      <c r="J10" s="1" t="s">
        <v>165</v>
      </c>
      <c r="K10" s="1"/>
      <c r="L10" s="1"/>
    </row>
    <row r="11" spans="1:12" ht="19" customHeight="1">
      <c r="A11" s="1"/>
      <c r="B11" s="1"/>
      <c r="C11" s="1" t="s">
        <v>168</v>
      </c>
      <c r="D11" s="11">
        <v>34688</v>
      </c>
      <c r="E11" s="11">
        <v>40340</v>
      </c>
      <c r="F11" s="11">
        <v>48030</v>
      </c>
      <c r="G11" s="11">
        <v>21582</v>
      </c>
      <c r="H11" s="11">
        <v>25295</v>
      </c>
      <c r="I11" s="1"/>
      <c r="J11" s="1" t="s">
        <v>165</v>
      </c>
      <c r="K11" s="1"/>
      <c r="L11" s="1"/>
    </row>
    <row r="12" spans="1:12" ht="19" customHeight="1">
      <c r="A12" s="1"/>
      <c r="B12" s="1"/>
      <c r="C12" s="1" t="s">
        <v>169</v>
      </c>
      <c r="D12" s="11">
        <v>33088</v>
      </c>
      <c r="E12" s="11">
        <v>43229</v>
      </c>
      <c r="F12" s="11">
        <v>58705</v>
      </c>
      <c r="G12" s="11">
        <v>25884</v>
      </c>
      <c r="H12" s="11">
        <v>44796</v>
      </c>
      <c r="I12" s="1"/>
      <c r="J12" s="1" t="s">
        <v>165</v>
      </c>
      <c r="K12" s="1"/>
      <c r="L12" s="1"/>
    </row>
    <row r="13" spans="1:12" ht="19" customHeight="1">
      <c r="A13" s="1"/>
      <c r="B13" s="1"/>
      <c r="C13" s="1" t="s">
        <v>170</v>
      </c>
      <c r="D13" s="11">
        <v>1527</v>
      </c>
      <c r="E13" s="11">
        <v>1648</v>
      </c>
      <c r="F13" s="11">
        <v>1537</v>
      </c>
      <c r="G13" s="11">
        <v>823</v>
      </c>
      <c r="H13" s="11">
        <v>793</v>
      </c>
      <c r="I13" s="1"/>
      <c r="J13" s="1" t="s">
        <v>165</v>
      </c>
      <c r="K13" s="1"/>
      <c r="L13" s="1"/>
    </row>
    <row r="14" spans="1:12" ht="19" customHeight="1">
      <c r="A14" s="1"/>
      <c r="B14" s="1"/>
      <c r="C14" s="1" t="s">
        <v>171</v>
      </c>
      <c r="D14" s="11">
        <v>236</v>
      </c>
      <c r="E14" s="11">
        <v>211</v>
      </c>
      <c r="F14" s="11">
        <v>-127</v>
      </c>
      <c r="G14" s="11">
        <v>148</v>
      </c>
      <c r="H14" s="11">
        <v>-74</v>
      </c>
      <c r="I14" s="1"/>
      <c r="J14" s="1" t="s">
        <v>165</v>
      </c>
      <c r="K14" s="1"/>
      <c r="L14" s="1"/>
    </row>
    <row r="15" spans="1:12" ht="19" customHeight="1">
      <c r="A15" s="1"/>
      <c r="B15" s="1"/>
      <c r="C15" s="14" t="s">
        <v>172</v>
      </c>
      <c r="D15" s="15">
        <v>307394</v>
      </c>
      <c r="E15" s="15">
        <v>350018</v>
      </c>
      <c r="F15" s="15">
        <v>402836</v>
      </c>
      <c r="G15" s="15">
        <v>186662</v>
      </c>
      <c r="H15" s="15">
        <v>229692</v>
      </c>
      <c r="I15" s="1"/>
      <c r="J15" s="1" t="s">
        <v>165</v>
      </c>
      <c r="K15" s="1"/>
      <c r="L15" s="1"/>
    </row>
    <row r="16" spans="1:12" ht="19" customHeight="1">
      <c r="A16" s="1"/>
      <c r="B16" s="1"/>
      <c r="C16" s="1" t="s">
        <v>173</v>
      </c>
      <c r="D16" s="13">
        <f>SUM(D8:D14)-D15</f>
        <v>0</v>
      </c>
      <c r="E16" s="13">
        <f>SUM(E8:E14)-E15</f>
        <v>0</v>
      </c>
      <c r="F16" s="13">
        <f>SUM(F8:F14)-F15</f>
        <v>0</v>
      </c>
      <c r="G16" s="13">
        <f>SUM(G8:G14)-G15</f>
        <v>0</v>
      </c>
      <c r="H16" s="13">
        <f>SUM(H8:H14)-H15</f>
        <v>0</v>
      </c>
      <c r="I16" s="1"/>
      <c r="J16" s="1"/>
      <c r="K16" s="1"/>
      <c r="L16" s="1"/>
    </row>
    <row r="17" spans="1:12" ht="19" customHeight="1">
      <c r="A17" s="1"/>
      <c r="B17" s="1"/>
      <c r="C17" s="1"/>
      <c r="D17" s="2"/>
      <c r="E17" s="2"/>
      <c r="F17" s="2"/>
      <c r="G17" s="2"/>
      <c r="H17" s="2"/>
      <c r="I17" s="1"/>
      <c r="J17" s="1"/>
      <c r="K17" s="1"/>
      <c r="L17" s="1"/>
    </row>
    <row r="18" spans="1:12" ht="19" customHeight="1">
      <c r="A18" s="1"/>
      <c r="B18" s="1"/>
      <c r="C18" s="1" t="s">
        <v>174</v>
      </c>
      <c r="D18" s="11">
        <v>133332</v>
      </c>
      <c r="E18" s="11">
        <v>146306</v>
      </c>
      <c r="F18" s="11">
        <v>162535</v>
      </c>
      <c r="G18" s="11">
        <v>75400</v>
      </c>
      <c r="H18" s="11">
        <v>87214</v>
      </c>
      <c r="I18" s="1"/>
      <c r="J18" s="1" t="s">
        <v>165</v>
      </c>
      <c r="K18" s="1"/>
      <c r="L18" s="1"/>
    </row>
    <row r="19" spans="1:12" ht="19" customHeight="1">
      <c r="A19" s="1"/>
      <c r="B19" s="1"/>
      <c r="C19" s="1" t="s">
        <v>175</v>
      </c>
      <c r="D19" s="11">
        <v>45427</v>
      </c>
      <c r="E19" s="11">
        <v>49326</v>
      </c>
      <c r="F19" s="11">
        <v>61087</v>
      </c>
      <c r="G19" s="11">
        <v>27364</v>
      </c>
      <c r="H19" s="11">
        <v>35251</v>
      </c>
      <c r="I19" s="1"/>
      <c r="J19" s="1" t="s">
        <v>165</v>
      </c>
      <c r="K19" s="1"/>
      <c r="L19" s="1"/>
    </row>
    <row r="20" spans="1:12" ht="19" customHeight="1">
      <c r="A20" s="1"/>
      <c r="B20" s="1"/>
      <c r="C20" s="1" t="s">
        <v>176</v>
      </c>
      <c r="D20" s="11">
        <v>27917</v>
      </c>
      <c r="E20" s="11">
        <v>27808</v>
      </c>
      <c r="F20" s="11">
        <v>28693</v>
      </c>
      <c r="G20" s="11">
        <v>13273</v>
      </c>
      <c r="H20" s="11">
        <v>16009</v>
      </c>
      <c r="I20" s="1"/>
      <c r="J20" s="1" t="s">
        <v>165</v>
      </c>
      <c r="K20" s="1"/>
      <c r="L20" s="1"/>
    </row>
    <row r="21" spans="1:12" ht="19" customHeight="1">
      <c r="A21" s="1"/>
      <c r="B21" s="1"/>
      <c r="C21" s="1" t="s">
        <v>177</v>
      </c>
      <c r="D21" s="11">
        <v>16425</v>
      </c>
      <c r="E21" s="11">
        <v>14188</v>
      </c>
      <c r="F21" s="11">
        <v>21482</v>
      </c>
      <c r="G21" s="11">
        <v>8748</v>
      </c>
      <c r="H21" s="11">
        <v>10752</v>
      </c>
      <c r="I21" s="1"/>
      <c r="J21" s="1" t="s">
        <v>165</v>
      </c>
      <c r="K21" s="1"/>
      <c r="L21" s="1"/>
    </row>
    <row r="22" spans="1:12" ht="19" customHeight="1">
      <c r="A22" s="1"/>
      <c r="B22" s="1"/>
      <c r="C22" s="14" t="s">
        <v>178</v>
      </c>
      <c r="D22" s="15">
        <v>84293</v>
      </c>
      <c r="E22" s="15">
        <v>112390</v>
      </c>
      <c r="F22" s="15">
        <v>129039</v>
      </c>
      <c r="G22" s="15">
        <v>61877</v>
      </c>
      <c r="H22" s="15">
        <v>80466</v>
      </c>
      <c r="I22" s="1"/>
      <c r="J22" s="1" t="s">
        <v>165</v>
      </c>
      <c r="K22" s="1"/>
      <c r="L22" s="1"/>
    </row>
    <row r="23" spans="1:12" ht="19" customHeight="1">
      <c r="A23" s="1"/>
      <c r="B23" s="1"/>
      <c r="C23" s="14" t="s">
        <v>179</v>
      </c>
      <c r="D23" s="16">
        <f>D15-SUM(D18:D21)</f>
        <v>84293</v>
      </c>
      <c r="E23" s="16">
        <f>E15-SUM(E18:E21)</f>
        <v>112390</v>
      </c>
      <c r="F23" s="16">
        <f>F15-SUM(F18:F21)</f>
        <v>129039</v>
      </c>
      <c r="G23" s="16">
        <f>G15-SUM(G18:G21)</f>
        <v>61877</v>
      </c>
      <c r="H23" s="16">
        <f>H15-SUM(H18:H21)</f>
        <v>80466</v>
      </c>
      <c r="I23" s="1"/>
      <c r="J23" s="1"/>
      <c r="K23" s="1"/>
      <c r="L23" s="1"/>
    </row>
    <row r="24" spans="1:12" ht="19" customHeight="1">
      <c r="A24" s="1"/>
      <c r="B24" s="1"/>
      <c r="C24" s="1" t="s">
        <v>180</v>
      </c>
      <c r="D24" s="13">
        <f>D23-D22</f>
        <v>0</v>
      </c>
      <c r="E24" s="13">
        <f>E23-E22</f>
        <v>0</v>
      </c>
      <c r="F24" s="13">
        <f>F23-F22</f>
        <v>0</v>
      </c>
      <c r="G24" s="13">
        <f>G23-G22</f>
        <v>0</v>
      </c>
      <c r="H24" s="13">
        <f>H23-H22</f>
        <v>0</v>
      </c>
      <c r="I24" s="1"/>
      <c r="J24" s="1"/>
      <c r="K24" s="1"/>
      <c r="L24" s="1"/>
    </row>
    <row r="25" spans="1:12" ht="19" customHeight="1">
      <c r="A25" s="1"/>
      <c r="B25" s="1"/>
      <c r="C25" s="1" t="s">
        <v>181</v>
      </c>
      <c r="D25" s="11">
        <v>85717</v>
      </c>
      <c r="E25" s="11">
        <v>119815</v>
      </c>
      <c r="F25" s="11">
        <v>158826</v>
      </c>
      <c r="G25" s="11">
        <v>75722</v>
      </c>
      <c r="H25" s="11">
        <v>216165</v>
      </c>
      <c r="I25" s="1"/>
      <c r="J25" s="1" t="s">
        <v>165</v>
      </c>
      <c r="K25" s="1"/>
      <c r="L25" s="1"/>
    </row>
    <row r="26" spans="1:12" ht="19" customHeight="1">
      <c r="A26" s="1"/>
      <c r="B26" s="1"/>
      <c r="C26" s="1" t="s">
        <v>182</v>
      </c>
      <c r="D26" s="11">
        <v>11922</v>
      </c>
      <c r="E26" s="11">
        <v>19697</v>
      </c>
      <c r="F26" s="11">
        <v>26656</v>
      </c>
      <c r="G26" s="11">
        <v>12986</v>
      </c>
      <c r="H26" s="11">
        <v>41394</v>
      </c>
      <c r="I26" s="1"/>
      <c r="J26" s="1" t="s">
        <v>165</v>
      </c>
      <c r="K26" s="1"/>
      <c r="L26" s="1"/>
    </row>
    <row r="27" spans="1:12" ht="19" customHeight="1">
      <c r="A27" s="1"/>
      <c r="B27" s="1"/>
      <c r="C27" s="14" t="s">
        <v>183</v>
      </c>
      <c r="D27" s="15">
        <v>73795</v>
      </c>
      <c r="E27" s="15">
        <v>100118</v>
      </c>
      <c r="F27" s="15">
        <v>132170</v>
      </c>
      <c r="G27" s="15">
        <v>62736</v>
      </c>
      <c r="H27" s="15">
        <v>174771</v>
      </c>
      <c r="I27" s="1"/>
      <c r="J27" s="1" t="s">
        <v>165</v>
      </c>
      <c r="K27" s="1"/>
      <c r="L27" s="1"/>
    </row>
    <row r="28" spans="1:12" ht="19" customHeight="1">
      <c r="A28" s="1"/>
      <c r="B28" s="1"/>
      <c r="C28" s="1" t="s">
        <v>184</v>
      </c>
      <c r="D28" s="11">
        <v>73795</v>
      </c>
      <c r="E28" s="11">
        <v>100118</v>
      </c>
      <c r="F28" s="11">
        <v>132170</v>
      </c>
      <c r="G28" s="11">
        <v>62736</v>
      </c>
      <c r="H28" s="11">
        <v>174685</v>
      </c>
      <c r="I28" s="1"/>
      <c r="J28" s="1" t="s">
        <v>165</v>
      </c>
      <c r="K28" s="1"/>
      <c r="L28" s="1"/>
    </row>
    <row r="29" spans="1:12" ht="19" customHeight="1">
      <c r="A29" s="1"/>
      <c r="B29" s="1"/>
      <c r="C29" s="1" t="s">
        <v>185</v>
      </c>
      <c r="D29" s="12">
        <v>5.8</v>
      </c>
      <c r="E29" s="12">
        <v>8.0399999999999991</v>
      </c>
      <c r="F29" s="12">
        <v>10.81</v>
      </c>
      <c r="G29" s="12">
        <v>5.12</v>
      </c>
      <c r="H29" s="12">
        <v>14.24</v>
      </c>
      <c r="I29" s="1"/>
      <c r="J29" s="1" t="s">
        <v>165</v>
      </c>
      <c r="K29" s="1"/>
      <c r="L29" s="1"/>
    </row>
    <row r="30" spans="1:12" ht="19" customHeight="1">
      <c r="A30" s="1"/>
      <c r="B30" s="1"/>
      <c r="C30" s="1" t="s">
        <v>186</v>
      </c>
      <c r="D30" s="11">
        <v>11946</v>
      </c>
      <c r="E30" s="11">
        <v>15311</v>
      </c>
      <c r="F30" s="11">
        <v>21136</v>
      </c>
      <c r="G30" s="11">
        <v>9485</v>
      </c>
      <c r="H30" s="11">
        <v>13586</v>
      </c>
      <c r="I30" s="1"/>
      <c r="J30" s="1" t="s">
        <v>165</v>
      </c>
      <c r="K30" s="1"/>
      <c r="L30" s="1"/>
    </row>
    <row r="31" spans="1:12" ht="19" customHeight="1">
      <c r="A31" s="1"/>
      <c r="B31" s="1"/>
      <c r="C31" s="1" t="s">
        <v>187</v>
      </c>
      <c r="D31" s="11">
        <v>22460</v>
      </c>
      <c r="E31" s="11">
        <v>22785</v>
      </c>
      <c r="F31" s="11">
        <v>24953</v>
      </c>
      <c r="G31" s="11">
        <v>11514</v>
      </c>
      <c r="H31" s="11">
        <v>14708</v>
      </c>
      <c r="I31" s="1"/>
      <c r="J31" s="1" t="s">
        <v>165</v>
      </c>
      <c r="K31" s="1"/>
      <c r="L31" s="1"/>
    </row>
    <row r="32" spans="1:12" ht="19" customHeight="1">
      <c r="A32" s="1"/>
      <c r="B32" s="1"/>
      <c r="C32" s="1" t="s">
        <v>188</v>
      </c>
      <c r="D32" s="11">
        <v>101746</v>
      </c>
      <c r="E32" s="11">
        <v>125299</v>
      </c>
      <c r="F32" s="11">
        <v>164713</v>
      </c>
      <c r="G32" s="11">
        <v>63897</v>
      </c>
      <c r="H32" s="11">
        <v>84859</v>
      </c>
      <c r="I32" s="1"/>
      <c r="J32" s="1" t="s">
        <v>165</v>
      </c>
      <c r="K32" s="1"/>
      <c r="L32" s="1"/>
    </row>
    <row r="33" spans="1:12" ht="19" customHeight="1">
      <c r="A33" s="1"/>
      <c r="B33" s="1"/>
      <c r="C33" s="1" t="s">
        <v>189</v>
      </c>
      <c r="D33" s="11">
        <v>32251</v>
      </c>
      <c r="E33" s="11">
        <v>52535</v>
      </c>
      <c r="F33" s="11">
        <v>91447</v>
      </c>
      <c r="G33" s="11">
        <v>39643</v>
      </c>
      <c r="H33" s="11">
        <v>80598</v>
      </c>
      <c r="I33" s="1"/>
      <c r="J33" s="1" t="s">
        <v>165</v>
      </c>
      <c r="K33" s="1"/>
      <c r="L33" s="1"/>
    </row>
    <row r="34" spans="1:12" ht="19" customHeight="1">
      <c r="A34" s="1"/>
      <c r="B34" s="1"/>
      <c r="C34" s="14" t="s">
        <v>190</v>
      </c>
      <c r="D34" s="16">
        <f>D32-D33</f>
        <v>69495</v>
      </c>
      <c r="E34" s="16">
        <f>E32-E33</f>
        <v>72764</v>
      </c>
      <c r="F34" s="16">
        <f>F32-F33</f>
        <v>73266</v>
      </c>
      <c r="G34" s="16">
        <f>G32-G33</f>
        <v>24254</v>
      </c>
      <c r="H34" s="16">
        <f>H32-H33</f>
        <v>4261</v>
      </c>
      <c r="I34" s="1"/>
      <c r="J34" s="1"/>
      <c r="K34" s="1"/>
      <c r="L34" s="1"/>
    </row>
    <row r="35" spans="1:12" ht="19" customHeight="1">
      <c r="A35" s="1"/>
      <c r="B35" s="1"/>
      <c r="C35" s="1"/>
      <c r="D35" s="2"/>
      <c r="E35" s="2"/>
      <c r="F35" s="2"/>
      <c r="G35" s="2"/>
      <c r="H35" s="2"/>
      <c r="I35" s="1"/>
      <c r="J35" s="1"/>
      <c r="K35" s="1"/>
      <c r="L35" s="1"/>
    </row>
    <row r="36" spans="1:12" ht="19" customHeight="1">
      <c r="A36" s="1"/>
      <c r="B36" s="1"/>
      <c r="C36" s="1" t="s">
        <v>191</v>
      </c>
      <c r="D36" s="2"/>
      <c r="E36" s="2"/>
      <c r="F36" s="11">
        <v>62886</v>
      </c>
      <c r="G36" s="2"/>
      <c r="H36" s="11">
        <v>69175</v>
      </c>
      <c r="I36" s="1"/>
      <c r="J36" s="1" t="s">
        <v>192</v>
      </c>
      <c r="K36" s="1"/>
      <c r="L36" s="1"/>
    </row>
    <row r="37" spans="1:12" ht="19" customHeight="1">
      <c r="A37" s="1"/>
      <c r="B37" s="1"/>
      <c r="C37" s="1" t="s">
        <v>193</v>
      </c>
      <c r="D37" s="2"/>
      <c r="E37" s="2"/>
      <c r="F37" s="11">
        <v>2439</v>
      </c>
      <c r="G37" s="2"/>
      <c r="H37" s="11">
        <v>9991</v>
      </c>
      <c r="I37" s="1"/>
      <c r="J37" s="1" t="s">
        <v>192</v>
      </c>
      <c r="K37" s="1"/>
      <c r="L37" s="1"/>
    </row>
    <row r="38" spans="1:12" ht="19" customHeight="1">
      <c r="A38" s="1"/>
      <c r="B38" s="1"/>
      <c r="C38" s="1" t="s">
        <v>194</v>
      </c>
      <c r="D38" s="2"/>
      <c r="E38" s="2"/>
      <c r="F38" s="11">
        <v>12200</v>
      </c>
      <c r="G38" s="2"/>
      <c r="H38" s="11">
        <v>20258</v>
      </c>
      <c r="I38" s="1"/>
      <c r="J38" s="1" t="s">
        <v>192</v>
      </c>
      <c r="K38" s="1"/>
      <c r="L38" s="1"/>
    </row>
    <row r="39" spans="1:12" ht="19" customHeight="1">
      <c r="A39" s="1"/>
      <c r="B39" s="1"/>
      <c r="C39" s="1" t="s">
        <v>195</v>
      </c>
      <c r="D39" s="2"/>
      <c r="E39" s="2"/>
      <c r="F39" s="11">
        <v>6578</v>
      </c>
      <c r="G39" s="2"/>
      <c r="H39" s="11">
        <v>7154</v>
      </c>
      <c r="I39" s="1"/>
      <c r="J39" s="1" t="s">
        <v>192</v>
      </c>
      <c r="K39" s="1"/>
      <c r="L39" s="1"/>
    </row>
    <row r="40" spans="1:12" ht="19" customHeight="1">
      <c r="A40" s="1"/>
      <c r="B40" s="1"/>
      <c r="C40" s="14" t="s">
        <v>196</v>
      </c>
      <c r="D40" s="16"/>
      <c r="E40" s="16"/>
      <c r="F40" s="16">
        <f>SUM(F36:F37)-SUM(F38:F39)</f>
        <v>46547</v>
      </c>
      <c r="G40" s="16"/>
      <c r="H40" s="16">
        <f>SUM(H36:H37)-SUM(H38:H39)</f>
        <v>51754</v>
      </c>
      <c r="I40" s="1"/>
      <c r="J40" s="1"/>
      <c r="K40" s="1"/>
      <c r="L40" s="1"/>
    </row>
    <row r="41" spans="1:12" ht="19" customHeight="1">
      <c r="A41" s="1"/>
      <c r="B41" s="1"/>
      <c r="C41" s="1"/>
      <c r="D41" s="2"/>
      <c r="E41" s="2"/>
      <c r="F41" s="2"/>
      <c r="G41" s="2"/>
      <c r="H41" s="2"/>
      <c r="I41" s="1"/>
      <c r="J41" s="1"/>
      <c r="K41" s="1"/>
      <c r="L41" s="1"/>
    </row>
    <row r="42" spans="1:12" ht="19" customHeight="1">
      <c r="A42" s="1"/>
      <c r="B42" s="1"/>
      <c r="C42" s="1" t="s">
        <v>197</v>
      </c>
      <c r="D42" s="2"/>
      <c r="E42" s="2"/>
      <c r="F42" s="11">
        <v>126843</v>
      </c>
      <c r="G42" s="2"/>
      <c r="H42" s="11">
        <v>242474</v>
      </c>
      <c r="I42" s="1"/>
      <c r="J42" s="1" t="s">
        <v>192</v>
      </c>
      <c r="K42" s="1"/>
      <c r="L42" s="1"/>
    </row>
    <row r="43" spans="1:12" ht="19" customHeight="1">
      <c r="A43" s="1"/>
      <c r="B43" s="1"/>
      <c r="C43" s="1" t="s">
        <v>198</v>
      </c>
      <c r="D43" s="2"/>
      <c r="E43" s="2"/>
      <c r="F43" s="11">
        <v>46547</v>
      </c>
      <c r="G43" s="2"/>
      <c r="H43" s="11">
        <v>98165</v>
      </c>
      <c r="I43" s="1"/>
      <c r="J43" s="1" t="s">
        <v>192</v>
      </c>
      <c r="K43" s="1"/>
      <c r="L43" s="1"/>
    </row>
    <row r="44" spans="1:12" ht="19" customHeight="1">
      <c r="A44" s="1"/>
      <c r="B44" s="1"/>
      <c r="C44" s="1" t="s">
        <v>199</v>
      </c>
      <c r="D44" s="2"/>
      <c r="E44" s="2"/>
      <c r="F44" s="11">
        <v>1996</v>
      </c>
      <c r="G44" s="2"/>
      <c r="H44" s="11">
        <v>1999</v>
      </c>
      <c r="I44" s="1"/>
      <c r="J44" s="1" t="s">
        <v>192</v>
      </c>
      <c r="K44" s="1"/>
      <c r="L44" s="1"/>
    </row>
    <row r="45" spans="1:12" ht="19" customHeight="1">
      <c r="A45" s="1"/>
      <c r="B45" s="1"/>
      <c r="C45" s="1" t="s">
        <v>200</v>
      </c>
      <c r="D45" s="2"/>
      <c r="E45" s="2"/>
      <c r="F45" s="11">
        <v>45600</v>
      </c>
      <c r="G45" s="2"/>
      <c r="H45" s="11">
        <v>94900</v>
      </c>
      <c r="I45" s="1"/>
      <c r="J45" s="1" t="s">
        <v>192</v>
      </c>
      <c r="K45" s="1"/>
      <c r="L45" s="1"/>
    </row>
    <row r="46" spans="1:12" ht="19" customHeight="1">
      <c r="A46" s="1"/>
      <c r="B46" s="1"/>
      <c r="C46" s="1" t="s">
        <v>201</v>
      </c>
      <c r="D46" s="2"/>
      <c r="E46" s="2"/>
      <c r="F46" s="11">
        <v>0</v>
      </c>
      <c r="G46" s="2"/>
      <c r="H46" s="11">
        <v>1686</v>
      </c>
      <c r="I46" s="1"/>
      <c r="J46" s="1" t="s">
        <v>192</v>
      </c>
      <c r="K46" s="1"/>
      <c r="L46" s="1"/>
    </row>
    <row r="47" spans="1:12" ht="19" customHeight="1">
      <c r="A47" s="1"/>
      <c r="B47" s="1"/>
      <c r="C47" s="1" t="s">
        <v>202</v>
      </c>
      <c r="D47" s="2"/>
      <c r="E47" s="2"/>
      <c r="F47" s="11">
        <v>12088</v>
      </c>
      <c r="G47" s="2"/>
      <c r="H47" s="11">
        <v>12230</v>
      </c>
      <c r="I47" s="1"/>
      <c r="J47" s="1" t="s">
        <v>192</v>
      </c>
      <c r="K47" s="1"/>
      <c r="L47" s="1"/>
    </row>
    <row r="48" spans="1:12" ht="19" customHeight="1">
      <c r="A48" s="1"/>
      <c r="B48" s="1"/>
      <c r="C48" s="1" t="s">
        <v>203</v>
      </c>
      <c r="D48" s="2"/>
      <c r="E48" s="2"/>
      <c r="F48" s="11">
        <v>0</v>
      </c>
      <c r="G48" s="2"/>
      <c r="H48" s="11">
        <v>385</v>
      </c>
      <c r="I48" s="1"/>
      <c r="J48" s="1" t="s">
        <v>192</v>
      </c>
      <c r="K48" s="1"/>
      <c r="L48" s="1"/>
    </row>
    <row r="49" spans="1:12" ht="19" customHeight="1">
      <c r="A49" s="1"/>
      <c r="B49" s="1"/>
      <c r="C49" s="1" t="s">
        <v>204</v>
      </c>
      <c r="D49" s="2"/>
      <c r="E49" s="2"/>
      <c r="F49" s="2"/>
      <c r="G49" s="2"/>
      <c r="H49" s="11">
        <v>50</v>
      </c>
      <c r="I49" s="1"/>
      <c r="J49" s="1" t="s">
        <v>192</v>
      </c>
      <c r="K49" s="1"/>
      <c r="L49" s="1"/>
    </row>
    <row r="50" spans="1:12" ht="19" customHeight="1">
      <c r="A50" s="1"/>
      <c r="B50" s="1"/>
      <c r="C50" s="1" t="s">
        <v>205</v>
      </c>
      <c r="D50" s="2"/>
      <c r="E50" s="2"/>
      <c r="F50" s="11">
        <v>68687</v>
      </c>
      <c r="G50" s="2"/>
      <c r="H50" s="11">
        <v>131461</v>
      </c>
      <c r="I50" s="1"/>
      <c r="J50" s="1" t="s">
        <v>192</v>
      </c>
      <c r="K50" s="1"/>
      <c r="L50" s="1"/>
    </row>
    <row r="51" spans="1:12" ht="19" customHeight="1">
      <c r="A51" s="1"/>
      <c r="B51" s="1"/>
      <c r="C51" s="1" t="s">
        <v>206</v>
      </c>
      <c r="D51" s="2"/>
      <c r="E51" s="2"/>
      <c r="F51" s="11">
        <v>919</v>
      </c>
      <c r="G51" s="2"/>
      <c r="H51" s="11">
        <v>22819</v>
      </c>
      <c r="I51" s="1"/>
      <c r="J51" s="1" t="s">
        <v>192</v>
      </c>
      <c r="K51" s="1"/>
      <c r="L51" s="1"/>
    </row>
    <row r="52" spans="1:12" ht="19" customHeight="1">
      <c r="A52" s="1"/>
      <c r="B52" s="1"/>
      <c r="C52" s="1" t="s">
        <v>207</v>
      </c>
      <c r="D52" s="2"/>
      <c r="E52" s="2"/>
      <c r="F52" s="2"/>
      <c r="G52" s="2"/>
      <c r="H52" s="11">
        <v>17400</v>
      </c>
      <c r="I52" s="1"/>
      <c r="J52" s="1" t="s">
        <v>192</v>
      </c>
      <c r="K52" s="1"/>
      <c r="L52" s="1"/>
    </row>
    <row r="53" spans="1:12" ht="19" customHeight="1">
      <c r="A53" s="1"/>
      <c r="B53" s="1"/>
      <c r="C53" s="1" t="s">
        <v>208</v>
      </c>
      <c r="D53" s="2"/>
      <c r="E53" s="2"/>
      <c r="F53" s="2"/>
      <c r="G53" s="11">
        <v>246</v>
      </c>
      <c r="H53" s="11">
        <v>545</v>
      </c>
      <c r="I53" s="1"/>
      <c r="J53" s="1" t="s">
        <v>192</v>
      </c>
      <c r="K53" s="1"/>
      <c r="L53" s="1"/>
    </row>
    <row r="54" spans="1:12" ht="19" customHeight="1">
      <c r="A54" s="1"/>
      <c r="B54" s="1"/>
      <c r="C54" s="1" t="s">
        <v>209</v>
      </c>
      <c r="D54" s="2"/>
      <c r="E54" s="2"/>
      <c r="F54" s="2"/>
      <c r="G54" s="2"/>
      <c r="H54" s="11">
        <v>513900</v>
      </c>
      <c r="I54" s="1"/>
      <c r="J54" s="1" t="s">
        <v>192</v>
      </c>
      <c r="K54" s="1"/>
      <c r="L54" s="1"/>
    </row>
    <row r="55" spans="1:12" ht="19" customHeight="1">
      <c r="A55" s="1"/>
      <c r="B55" s="1"/>
      <c r="C55" s="1"/>
      <c r="D55" s="2"/>
      <c r="E55" s="2"/>
      <c r="F55" s="2"/>
      <c r="G55" s="2"/>
      <c r="H55" s="2"/>
      <c r="I55" s="1"/>
      <c r="J55" s="1"/>
      <c r="K55" s="1"/>
      <c r="L55" s="1"/>
    </row>
    <row r="56" spans="1:12" ht="19" customHeight="1">
      <c r="A56" s="1"/>
      <c r="B56" s="1"/>
      <c r="C56" s="1"/>
      <c r="D56" s="2"/>
      <c r="E56" s="2"/>
      <c r="F56" s="2"/>
      <c r="G56" s="2"/>
      <c r="H56" s="2"/>
      <c r="I56" s="1"/>
      <c r="J56" s="1"/>
      <c r="K56" s="1"/>
      <c r="L56" s="1"/>
    </row>
    <row r="57" spans="1:12" ht="19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</row>
    <row r="59" spans="1:12" ht="19" customHeight="1">
      <c r="A59" s="1"/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</row>
    <row r="60" spans="1:12" ht="19" customHeight="1">
      <c r="A60" s="1"/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</row>
    <row r="61" spans="1:12" ht="19" customHeight="1">
      <c r="A61" s="1"/>
      <c r="B61" s="1"/>
      <c r="C61" s="1"/>
      <c r="D61" s="2"/>
      <c r="E61" s="2"/>
      <c r="F61" s="2"/>
      <c r="G61" s="2"/>
      <c r="H61" s="2"/>
      <c r="I61" s="1"/>
      <c r="J61" s="1"/>
      <c r="K61" s="1"/>
      <c r="L61" s="1"/>
    </row>
    <row r="62" spans="1:12" ht="19" customHeight="1">
      <c r="A62" s="1"/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</row>
    <row r="63" spans="1:12" ht="19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</row>
    <row r="64" spans="1:12" ht="19" customHeight="1">
      <c r="A64" s="1"/>
      <c r="B64" s="1"/>
      <c r="C64" s="1"/>
      <c r="D64" s="2"/>
      <c r="E64" s="2"/>
      <c r="F64" s="2"/>
      <c r="G64" s="2"/>
      <c r="H64" s="2"/>
      <c r="I64" s="1"/>
      <c r="J64" s="1"/>
      <c r="K64" s="1"/>
      <c r="L64" s="1"/>
    </row>
    <row r="65" spans="1:12" ht="19" customHeight="1">
      <c r="A65" s="1"/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</row>
    <row r="66" spans="1:12" ht="19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</row>
    <row r="67" spans="1:12" ht="19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</row>
    <row r="68" spans="1:12" ht="19" customHeight="1">
      <c r="A68" s="1"/>
      <c r="B68" s="1"/>
      <c r="C68" s="1"/>
      <c r="D68" s="2"/>
      <c r="E68" s="2"/>
      <c r="F68" s="2"/>
      <c r="G68" s="2"/>
      <c r="H68" s="2"/>
      <c r="I68" s="1"/>
      <c r="J68" s="1"/>
      <c r="K68" s="1"/>
      <c r="L68" s="1"/>
    </row>
    <row r="69" spans="1:12" ht="19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</row>
    <row r="70" spans="1:12" ht="19" customHeight="1">
      <c r="A70" s="1"/>
      <c r="B70" s="1"/>
      <c r="C70" s="1"/>
      <c r="D70" s="2"/>
      <c r="E70" s="2"/>
      <c r="F70" s="2"/>
      <c r="G70" s="2"/>
      <c r="H70" s="2"/>
      <c r="I70" s="1"/>
      <c r="J70" s="1"/>
      <c r="K70" s="1"/>
      <c r="L70" s="1"/>
    </row>
    <row r="71" spans="1:12" ht="19" customHeight="1">
      <c r="A71" s="1"/>
      <c r="B71" s="1"/>
      <c r="C71" s="1"/>
      <c r="D71" s="2"/>
      <c r="E71" s="2"/>
      <c r="F71" s="2"/>
      <c r="G71" s="2"/>
      <c r="H71" s="2"/>
      <c r="I71" s="1"/>
      <c r="J71" s="1"/>
      <c r="K71" s="1"/>
      <c r="L71" s="1"/>
    </row>
    <row r="72" spans="1:12" ht="19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</row>
    <row r="73" spans="1:12" ht="19" customHeight="1">
      <c r="A73" s="1"/>
      <c r="B73" s="1"/>
      <c r="C73" s="1"/>
      <c r="D73" s="2"/>
      <c r="E73" s="2"/>
      <c r="F73" s="2"/>
      <c r="G73" s="2"/>
      <c r="H73" s="2"/>
      <c r="I73" s="1"/>
      <c r="J73" s="1"/>
      <c r="K73" s="1"/>
      <c r="L73" s="1"/>
    </row>
    <row r="74" spans="1:12" ht="19" customHeight="1">
      <c r="A74" s="1"/>
      <c r="B74" s="1"/>
      <c r="C74" s="1"/>
      <c r="D74" s="2"/>
      <c r="E74" s="2"/>
      <c r="F74" s="2"/>
      <c r="G74" s="2"/>
      <c r="H74" s="2"/>
      <c r="I74" s="1"/>
      <c r="J74" s="1"/>
      <c r="K74" s="1"/>
      <c r="L74" s="1"/>
    </row>
    <row r="75" spans="1:12" ht="19" customHeight="1">
      <c r="A75" s="1"/>
      <c r="B75" s="1"/>
      <c r="C75" s="1"/>
      <c r="D75" s="2"/>
      <c r="E75" s="2"/>
      <c r="F75" s="2"/>
      <c r="G75" s="2"/>
      <c r="H75" s="2"/>
      <c r="I75" s="1"/>
      <c r="J75" s="1"/>
      <c r="K75" s="1"/>
      <c r="L75" s="1"/>
    </row>
    <row r="76" spans="1:12" ht="19" customHeight="1">
      <c r="A76" s="1"/>
      <c r="B76" s="1"/>
      <c r="C76" s="1"/>
      <c r="D76" s="2"/>
      <c r="E76" s="2"/>
      <c r="F76" s="2"/>
      <c r="G76" s="2"/>
      <c r="H76" s="2"/>
      <c r="I76" s="1"/>
      <c r="J76" s="1"/>
      <c r="K76" s="1"/>
      <c r="L76" s="1"/>
    </row>
    <row r="77" spans="1:12" ht="19" customHeight="1">
      <c r="A77" s="1"/>
      <c r="B77" s="1"/>
      <c r="C77" s="1"/>
      <c r="D77" s="2"/>
      <c r="E77" s="2"/>
      <c r="F77" s="2"/>
      <c r="G77" s="2"/>
      <c r="H77" s="2"/>
      <c r="I77" s="1"/>
      <c r="J77" s="1"/>
      <c r="K77" s="1"/>
      <c r="L77" s="1"/>
    </row>
    <row r="78" spans="1:12" ht="19" customHeight="1">
      <c r="A78" s="1"/>
      <c r="B78" s="1"/>
      <c r="C78" s="1"/>
      <c r="D78" s="2"/>
      <c r="E78" s="2"/>
      <c r="F78" s="2"/>
      <c r="G78" s="2"/>
      <c r="H78" s="2"/>
      <c r="I78" s="1"/>
      <c r="J78" s="1"/>
      <c r="K78" s="1"/>
      <c r="L78" s="1"/>
    </row>
    <row r="79" spans="1:12" ht="19" customHeight="1">
      <c r="A79" s="1"/>
      <c r="B79" s="1"/>
      <c r="C79" s="1"/>
      <c r="D79" s="2"/>
      <c r="E79" s="2"/>
      <c r="F79" s="2"/>
      <c r="G79" s="2"/>
      <c r="H79" s="2"/>
      <c r="I79" s="1"/>
      <c r="J79" s="1"/>
      <c r="K79" s="1"/>
      <c r="L79" s="1"/>
    </row>
    <row r="80" spans="1:12" ht="19" customHeight="1">
      <c r="A80" s="1"/>
      <c r="B80" s="1"/>
      <c r="C80" s="1"/>
      <c r="D80" s="2"/>
      <c r="E80" s="2"/>
      <c r="F80" s="2"/>
      <c r="G80" s="2"/>
      <c r="H80" s="2"/>
      <c r="I80" s="1"/>
      <c r="J80" s="1"/>
      <c r="K80" s="1"/>
      <c r="L80" s="1"/>
    </row>
    <row r="81" spans="1:12" ht="19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</row>
    <row r="82" spans="1:12" ht="19" customHeight="1">
      <c r="A82" s="1"/>
      <c r="B82" s="1"/>
      <c r="C82" s="1"/>
      <c r="D82" s="2"/>
      <c r="E82" s="2"/>
      <c r="F82" s="2"/>
      <c r="G82" s="2"/>
      <c r="H82" s="2"/>
      <c r="I82" s="1"/>
      <c r="J82" s="1"/>
      <c r="K82" s="1"/>
      <c r="L82" s="1"/>
    </row>
    <row r="83" spans="1:12" ht="19" customHeight="1">
      <c r="A83" s="1"/>
      <c r="B83" s="1"/>
      <c r="C83" s="1"/>
      <c r="D83" s="2"/>
      <c r="E83" s="2"/>
      <c r="F83" s="2"/>
      <c r="G83" s="2"/>
      <c r="H83" s="2"/>
      <c r="I83" s="1"/>
      <c r="J83" s="1"/>
      <c r="K83" s="1"/>
      <c r="L83" s="1"/>
    </row>
    <row r="84" spans="1:12" ht="19" customHeight="1">
      <c r="A84" s="1"/>
      <c r="B84" s="1"/>
      <c r="C84" s="1"/>
      <c r="D84" s="2"/>
      <c r="E84" s="2"/>
      <c r="F84" s="2"/>
      <c r="G84" s="2"/>
      <c r="H84" s="2"/>
      <c r="I84" s="1"/>
      <c r="J84" s="1"/>
      <c r="K84" s="1"/>
      <c r="L84" s="1"/>
    </row>
    <row r="85" spans="1:12" ht="19" customHeight="1">
      <c r="A85" s="1"/>
      <c r="B85" s="1"/>
      <c r="C85" s="1"/>
      <c r="D85" s="2"/>
      <c r="E85" s="2"/>
      <c r="F85" s="2"/>
      <c r="G85" s="2"/>
      <c r="H85" s="2"/>
      <c r="I85" s="1"/>
      <c r="J85" s="1"/>
      <c r="K85" s="1"/>
      <c r="L85" s="1"/>
    </row>
    <row r="86" spans="1:12" ht="19" customHeight="1">
      <c r="A86" s="1"/>
      <c r="B86" s="1"/>
      <c r="C86" s="1"/>
      <c r="D86" s="2"/>
      <c r="E86" s="2"/>
      <c r="F86" s="2"/>
      <c r="G86" s="2"/>
      <c r="H86" s="2"/>
      <c r="I86" s="1"/>
      <c r="J86" s="1"/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1"/>
      <c r="D88" s="2"/>
      <c r="E88" s="2"/>
      <c r="F88" s="2"/>
      <c r="G88" s="2"/>
      <c r="H88" s="2"/>
      <c r="I88" s="1"/>
      <c r="J88" s="1"/>
      <c r="K88" s="1"/>
      <c r="L88" s="1"/>
    </row>
    <row r="89" spans="1:12" ht="19" customHeight="1">
      <c r="A89" s="1"/>
      <c r="B89" s="1"/>
      <c r="C89" s="1"/>
      <c r="D89" s="2"/>
      <c r="E89" s="2"/>
      <c r="F89" s="2"/>
      <c r="G89" s="2"/>
      <c r="H89" s="2"/>
      <c r="I89" s="1"/>
      <c r="J89" s="1"/>
      <c r="K89" s="1"/>
      <c r="L89" s="1"/>
    </row>
    <row r="90" spans="1:12" ht="19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</row>
    <row r="91" spans="1:12" ht="19" customHeight="1">
      <c r="A91" s="1"/>
      <c r="B91" s="1"/>
      <c r="C91" s="1"/>
      <c r="D91" s="2"/>
      <c r="E91" s="2"/>
      <c r="F91" s="2"/>
      <c r="G91" s="2"/>
      <c r="H91" s="2"/>
      <c r="I91" s="1"/>
      <c r="J91" s="1"/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19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</row>
    <row r="94" spans="1:12" ht="19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</row>
    <row r="95" spans="1:12" ht="19" customHeight="1">
      <c r="A95" s="1"/>
      <c r="B95" s="1"/>
      <c r="C95" s="1"/>
      <c r="D95" s="2"/>
      <c r="E95" s="2"/>
      <c r="F95" s="2"/>
      <c r="G95" s="2"/>
      <c r="H95" s="2"/>
      <c r="I95" s="1"/>
      <c r="J95" s="1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19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conditionalFormatting sqref="D16:H16">
    <cfRule type="cellIs" dxfId="1" priority="1" operator="notEqual">
      <formula>0</formula>
    </cfRule>
  </conditionalFormatting>
  <conditionalFormatting sqref="D24:H24">
    <cfRule type="cellIs" dxfId="0" priority="2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EBBC8"/>
  </sheetPr>
  <dimension ref="A1:L190"/>
  <sheetViews>
    <sheetView showGridLines="0" workbookViewId="0">
      <pane ySplit="6" topLeftCell="A7" activePane="bottomLeft" state="frozen"/>
      <selection pane="bottomLeft"/>
    </sheetView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210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19" customHeight="1">
      <c r="A6" s="1"/>
      <c r="B6" s="1"/>
      <c r="C6" s="1" t="s">
        <v>211</v>
      </c>
      <c r="D6" s="2" t="s">
        <v>98</v>
      </c>
      <c r="E6" s="2" t="s">
        <v>99</v>
      </c>
      <c r="F6" s="2" t="s">
        <v>100</v>
      </c>
      <c r="G6" s="2" t="s">
        <v>101</v>
      </c>
      <c r="H6" s="2" t="s">
        <v>102</v>
      </c>
      <c r="I6" s="1"/>
      <c r="J6" s="1"/>
      <c r="K6" s="1"/>
      <c r="L6" s="1"/>
    </row>
    <row r="7" spans="1:12" ht="19" customHeight="1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spans="1:12" ht="19" customHeight="1">
      <c r="A8" s="1"/>
      <c r="B8" s="1"/>
      <c r="C8" s="1" t="s">
        <v>164</v>
      </c>
      <c r="D8" s="5">
        <f>Historicals!H8+(Historicals!F8-Historicals!G8)*(1+Assumptions!D28)</f>
        <v>262452.40000000002</v>
      </c>
      <c r="E8" s="5">
        <f>D8*(1+Assumptions!E28)</f>
        <v>293946.68800000008</v>
      </c>
      <c r="F8" s="5">
        <f>E8*(1+Assumptions!F28)</f>
        <v>323341.35680000013</v>
      </c>
      <c r="G8" s="5">
        <f>F8*(1+Assumptions!G28)</f>
        <v>349208.66534400015</v>
      </c>
      <c r="H8" s="5">
        <f>G8*(1+Assumptions!H28)</f>
        <v>373653.27191808017</v>
      </c>
      <c r="I8" s="1"/>
      <c r="J8" s="1"/>
      <c r="K8" s="1"/>
      <c r="L8" s="1"/>
    </row>
    <row r="9" spans="1:12" ht="19" customHeight="1">
      <c r="A9" s="1"/>
      <c r="B9" s="1"/>
      <c r="C9" s="1" t="s">
        <v>166</v>
      </c>
      <c r="D9" s="5">
        <f>Historicals!H9+(Historicals!F9-Historicals!G9)*(1+Assumptions!D33)</f>
        <v>45395.72</v>
      </c>
      <c r="E9" s="5">
        <f>D9*(1+Assumptions!E33)</f>
        <v>50843.206400000003</v>
      </c>
      <c r="F9" s="5">
        <f>E9*(1+Assumptions!F33)</f>
        <v>56435.959104000009</v>
      </c>
      <c r="G9" s="5">
        <f>F9*(1+Assumptions!G33)</f>
        <v>62079.555014400015</v>
      </c>
      <c r="H9" s="5">
        <f>G9*(1+Assumptions!H33)</f>
        <v>67666.714965696025</v>
      </c>
      <c r="I9" s="1"/>
      <c r="J9" s="1"/>
      <c r="K9" s="1"/>
      <c r="L9" s="1"/>
    </row>
    <row r="10" spans="1:12" ht="19" customHeight="1">
      <c r="A10" s="1"/>
      <c r="B10" s="1"/>
      <c r="C10" s="1" t="s">
        <v>167</v>
      </c>
      <c r="D10" s="5">
        <f>Historicals!H10+(Historicals!F10-Historicals!G10)*(1+Assumptions!D38)</f>
        <v>29152.36</v>
      </c>
      <c r="E10" s="5">
        <f>D10*(1+Assumptions!E38)</f>
        <v>28569.3128</v>
      </c>
      <c r="F10" s="5">
        <f>E10*(1+Assumptions!F38)</f>
        <v>28283.619672000001</v>
      </c>
      <c r="G10" s="5">
        <f>F10*(1+Assumptions!G38)</f>
        <v>28283.619672000001</v>
      </c>
      <c r="H10" s="5">
        <f>G10*(1+Assumptions!H38)</f>
        <v>28283.619672000001</v>
      </c>
      <c r="I10" s="1"/>
      <c r="J10" s="1"/>
      <c r="K10" s="1"/>
      <c r="L10" s="1"/>
    </row>
    <row r="11" spans="1:12" ht="19" customHeight="1">
      <c r="A11" s="1"/>
      <c r="B11" s="1"/>
      <c r="C11" s="1" t="s">
        <v>212</v>
      </c>
      <c r="D11" s="5">
        <f>Historicals!H11+(Historicals!F11-Historicals!G11)*(1+Assumptions!D43)</f>
        <v>55974.679999999993</v>
      </c>
      <c r="E11" s="5">
        <f>D11*(1+Assumptions!E43)</f>
        <v>64370.881999999991</v>
      </c>
      <c r="F11" s="5">
        <f>E11*(1+Assumptions!F43)</f>
        <v>72739.096659999981</v>
      </c>
      <c r="G11" s="5">
        <f>F11*(1+Assumptions!G43)</f>
        <v>81467.788259199981</v>
      </c>
      <c r="H11" s="5">
        <f>G11*(1+Assumptions!H43)</f>
        <v>89614.567085119983</v>
      </c>
      <c r="I11" s="1"/>
      <c r="J11" s="1"/>
      <c r="K11" s="1"/>
      <c r="L11" s="1"/>
    </row>
    <row r="12" spans="1:12" ht="19" customHeight="1">
      <c r="A12" s="1"/>
      <c r="B12" s="1"/>
      <c r="C12" s="1" t="s">
        <v>169</v>
      </c>
      <c r="D12" s="5">
        <f>Historicals!H12+(Historicals!F12-Historicals!G12)*(1+Assumptions!D48)</f>
        <v>100591.7</v>
      </c>
      <c r="E12" s="5">
        <f>D12*(1+Assumptions!E48)</f>
        <v>150887.54999999999</v>
      </c>
      <c r="F12" s="5">
        <f>E12*(1+Assumptions!F48)</f>
        <v>203698.1925</v>
      </c>
      <c r="G12" s="5">
        <f>F12*(1+Assumptions!G48)</f>
        <v>260733.68640000001</v>
      </c>
      <c r="H12" s="5">
        <f>G12*(1+Assumptions!H48)</f>
        <v>318095.09740799997</v>
      </c>
      <c r="I12" s="1"/>
      <c r="J12" s="1"/>
      <c r="K12" s="1"/>
      <c r="L12" s="1"/>
    </row>
    <row r="13" spans="1:12" ht="19" customHeight="1">
      <c r="A13" s="1"/>
      <c r="B13" s="1"/>
      <c r="C13" s="1" t="s">
        <v>170</v>
      </c>
      <c r="D13" s="5">
        <f>Historicals!H13+(Historicals!F13-Historicals!G13)*(1+Assumptions!D53)</f>
        <v>1578.4</v>
      </c>
      <c r="E13" s="5">
        <f>D13*(1+Assumptions!E53)</f>
        <v>1815.1599999999999</v>
      </c>
      <c r="F13" s="5">
        <f>E13*(1+Assumptions!F53)</f>
        <v>2087.4339999999997</v>
      </c>
      <c r="G13" s="5">
        <f>F13*(1+Assumptions!G53)</f>
        <v>2400.5490999999997</v>
      </c>
      <c r="H13" s="5">
        <f>G13*(1+Assumptions!H53)</f>
        <v>2760.6314649999995</v>
      </c>
      <c r="I13" s="1"/>
      <c r="J13" s="1"/>
      <c r="K13" s="1"/>
      <c r="L13" s="1"/>
    </row>
    <row r="14" spans="1:12" ht="19" customHeight="1">
      <c r="A14" s="1"/>
      <c r="B14" s="1"/>
      <c r="C14" s="1" t="s">
        <v>171</v>
      </c>
      <c r="D14" s="5">
        <f>Historicals!H14+Assumptions!$D$23</f>
        <v>-74</v>
      </c>
      <c r="E14" s="5">
        <f>Assumptions!$D$23</f>
        <v>0</v>
      </c>
      <c r="F14" s="5">
        <f>Assumptions!$D$23</f>
        <v>0</v>
      </c>
      <c r="G14" s="5">
        <f>Assumptions!$D$23</f>
        <v>0</v>
      </c>
      <c r="H14" s="5">
        <f>Assumptions!$D$23</f>
        <v>0</v>
      </c>
      <c r="I14" s="1"/>
      <c r="J14" s="1"/>
      <c r="K14" s="1"/>
      <c r="L14" s="1"/>
    </row>
    <row r="15" spans="1:12" ht="19" customHeight="1">
      <c r="A15" s="1"/>
      <c r="B15" s="1"/>
      <c r="C15" s="14" t="s">
        <v>213</v>
      </c>
      <c r="D15" s="16">
        <f>SUM(D8:D14)</f>
        <v>495071.26</v>
      </c>
      <c r="E15" s="16">
        <f>SUM(E8:E14)</f>
        <v>590432.79920000012</v>
      </c>
      <c r="F15" s="16">
        <f>SUM(F8:F14)</f>
        <v>686585.65873600019</v>
      </c>
      <c r="G15" s="16">
        <f>SUM(G8:G14)</f>
        <v>784173.86378960009</v>
      </c>
      <c r="H15" s="16">
        <f>SUM(H8:H14)</f>
        <v>880073.90251389623</v>
      </c>
      <c r="I15" s="1"/>
      <c r="J15" s="1"/>
      <c r="K15" s="1"/>
      <c r="L15" s="1"/>
    </row>
    <row r="16" spans="1:12" ht="19" customHeight="1">
      <c r="A16" s="1"/>
      <c r="B16" s="1"/>
      <c r="C16" s="1"/>
      <c r="D16" s="2"/>
      <c r="E16" s="2"/>
      <c r="F16" s="2"/>
      <c r="G16" s="2"/>
      <c r="H16" s="2"/>
      <c r="I16" s="1"/>
      <c r="J16" s="1"/>
      <c r="K16" s="1"/>
      <c r="L16" s="1"/>
    </row>
    <row r="17" spans="1:12" ht="19" customHeight="1">
      <c r="A17" s="1"/>
      <c r="B17" s="1"/>
      <c r="C17" s="1"/>
      <c r="D17" s="2"/>
      <c r="E17" s="2"/>
      <c r="F17" s="2"/>
      <c r="G17" s="2"/>
      <c r="H17" s="2"/>
      <c r="I17" s="1"/>
      <c r="J17" s="1"/>
      <c r="K17" s="1"/>
      <c r="L17" s="1"/>
    </row>
    <row r="18" spans="1:12" ht="19" customHeight="1">
      <c r="A18" s="1"/>
      <c r="B18" s="1"/>
      <c r="C18" s="1"/>
      <c r="D18" s="2"/>
      <c r="E18" s="2"/>
      <c r="F18" s="2"/>
      <c r="G18" s="2"/>
      <c r="H18" s="2"/>
      <c r="I18" s="1"/>
      <c r="J18" s="1"/>
      <c r="K18" s="1"/>
      <c r="L18" s="1"/>
    </row>
    <row r="19" spans="1:12" ht="19" customHeight="1">
      <c r="A19" s="1"/>
      <c r="B19" s="1"/>
      <c r="C19" s="1" t="s">
        <v>214</v>
      </c>
      <c r="D19" s="5">
        <f>D8*Assumptions!D58</f>
        <v>107605.484</v>
      </c>
      <c r="E19" s="5">
        <f>E8*Assumptions!E58</f>
        <v>120518.14208000002</v>
      </c>
      <c r="F19" s="5">
        <f>F8*Assumptions!F58</f>
        <v>135803.36985600003</v>
      </c>
      <c r="G19" s="5">
        <f>G8*Assumptions!G58</f>
        <v>146667.63944448007</v>
      </c>
      <c r="H19" s="5">
        <f>H8*Assumptions!H58</f>
        <v>156934.37420559366</v>
      </c>
      <c r="I19" s="1"/>
      <c r="J19" s="1"/>
      <c r="K19" s="1"/>
      <c r="L19" s="1"/>
    </row>
    <row r="20" spans="1:12" ht="19" customHeight="1">
      <c r="A20" s="1"/>
      <c r="B20" s="1"/>
      <c r="C20" s="1" t="s">
        <v>215</v>
      </c>
      <c r="D20" s="5">
        <f>D9*Assumptions!D58</f>
        <v>18612.245199999998</v>
      </c>
      <c r="E20" s="5">
        <f>E9*Assumptions!E58</f>
        <v>20845.714624</v>
      </c>
      <c r="F20" s="5">
        <f>F9*Assumptions!F58</f>
        <v>23703.102823680001</v>
      </c>
      <c r="G20" s="5">
        <f>G9*Assumptions!G58</f>
        <v>26073.413106048007</v>
      </c>
      <c r="H20" s="5">
        <f>H9*Assumptions!H58</f>
        <v>28420.020285592331</v>
      </c>
      <c r="I20" s="1"/>
      <c r="J20" s="1"/>
      <c r="K20" s="1"/>
      <c r="L20" s="1"/>
    </row>
    <row r="21" spans="1:12" ht="19" customHeight="1">
      <c r="A21" s="1"/>
      <c r="B21" s="1"/>
      <c r="C21" s="1" t="s">
        <v>216</v>
      </c>
      <c r="D21" s="5">
        <f>D10*Assumptions!D58</f>
        <v>11952.4676</v>
      </c>
      <c r="E21" s="5">
        <f>E10*Assumptions!E58</f>
        <v>11713.418248</v>
      </c>
      <c r="F21" s="5">
        <f>F10*Assumptions!F58</f>
        <v>11879.12026224</v>
      </c>
      <c r="G21" s="5">
        <f>G10*Assumptions!G58</f>
        <v>11879.12026224</v>
      </c>
      <c r="H21" s="5">
        <f>H10*Assumptions!H58</f>
        <v>11879.12026224</v>
      </c>
      <c r="I21" s="1"/>
      <c r="J21" s="1"/>
      <c r="K21" s="1"/>
      <c r="L21" s="1"/>
    </row>
    <row r="22" spans="1:12" ht="19" customHeight="1">
      <c r="A22" s="1"/>
      <c r="B22" s="1"/>
      <c r="C22" s="1" t="s">
        <v>217</v>
      </c>
      <c r="D22" s="5">
        <f>D11*Assumptions!D58</f>
        <v>22949.618799999997</v>
      </c>
      <c r="E22" s="5">
        <f>E11*Assumptions!E58</f>
        <v>26392.061619999993</v>
      </c>
      <c r="F22" s="5">
        <f>F11*Assumptions!F58</f>
        <v>30550.420597199991</v>
      </c>
      <c r="G22" s="5">
        <f>G11*Assumptions!G58</f>
        <v>34216.47106886399</v>
      </c>
      <c r="H22" s="5">
        <f>H11*Assumptions!H58</f>
        <v>37638.118175750395</v>
      </c>
      <c r="I22" s="1"/>
      <c r="J22" s="1"/>
      <c r="K22" s="1"/>
      <c r="L22" s="1"/>
    </row>
    <row r="23" spans="1:12" ht="19" customHeight="1">
      <c r="A23" s="1"/>
      <c r="B23" s="1"/>
      <c r="C23" s="1" t="s">
        <v>218</v>
      </c>
      <c r="D23" s="5">
        <f>D12*Assumptions!D63</f>
        <v>34201.178</v>
      </c>
      <c r="E23" s="5">
        <f>E12*Assumptions!E63</f>
        <v>49792.891499999998</v>
      </c>
      <c r="F23" s="5">
        <f>F12*Assumptions!F63</f>
        <v>69257.385450000002</v>
      </c>
      <c r="G23" s="5">
        <f>G12*Assumptions!G63</f>
        <v>91256.790240000002</v>
      </c>
      <c r="H23" s="5">
        <f>H12*Assumptions!H63</f>
        <v>114514.23506687999</v>
      </c>
      <c r="I23" s="1"/>
      <c r="J23" s="1"/>
      <c r="K23" s="1"/>
      <c r="L23" s="1"/>
    </row>
    <row r="24" spans="1:12" ht="19" customHeight="1">
      <c r="A24" s="1"/>
      <c r="B24" s="1"/>
      <c r="C24" s="1" t="s">
        <v>219</v>
      </c>
      <c r="D24" s="5">
        <f>D13*Assumptions!D68</f>
        <v>-7102.8</v>
      </c>
      <c r="E24" s="5">
        <f>E13*Assumptions!E68</f>
        <v>-7260.6399999999994</v>
      </c>
      <c r="F24" s="5">
        <f>F13*Assumptions!F68</f>
        <v>-6262.3019999999997</v>
      </c>
      <c r="G24" s="5">
        <f>G13*Assumptions!G68</f>
        <v>-4801.0981999999995</v>
      </c>
      <c r="H24" s="5">
        <f>H13*Assumptions!H68</f>
        <v>-2760.6314649999995</v>
      </c>
      <c r="I24" s="1"/>
      <c r="J24" s="1"/>
      <c r="K24" s="1"/>
      <c r="L24" s="1"/>
    </row>
    <row r="25" spans="1:12" ht="19" customHeight="1">
      <c r="A25" s="1"/>
      <c r="B25" s="1"/>
      <c r="C25" s="1" t="s">
        <v>220</v>
      </c>
      <c r="D25" s="5">
        <f>-D15*Assumptions!D73</f>
        <v>-24753.563000000002</v>
      </c>
      <c r="E25" s="5">
        <f>-E15*Assumptions!E73</f>
        <v>-29521.639960000008</v>
      </c>
      <c r="F25" s="5">
        <f>-F15*Assumptions!F73</f>
        <v>-30896.354643120008</v>
      </c>
      <c r="G25" s="5">
        <f>-G15*Assumptions!G73</f>
        <v>-31366.954551584004</v>
      </c>
      <c r="H25" s="5">
        <f>-H15*Assumptions!H73</f>
        <v>-35202.95610055585</v>
      </c>
      <c r="I25" s="1"/>
      <c r="J25" s="1"/>
      <c r="K25" s="1"/>
      <c r="L25" s="1"/>
    </row>
    <row r="26" spans="1:12" ht="19" customHeight="1">
      <c r="A26" s="1"/>
      <c r="B26" s="1"/>
      <c r="C26" s="14" t="s">
        <v>221</v>
      </c>
      <c r="D26" s="16">
        <f>SUM(D19:D25)</f>
        <v>163464.6306</v>
      </c>
      <c r="E26" s="16">
        <f>SUM(E19:E25)</f>
        <v>192479.94811200001</v>
      </c>
      <c r="F26" s="16">
        <f>SUM(F19:F25)</f>
        <v>234034.74234599998</v>
      </c>
      <c r="G26" s="16">
        <f>SUM(G19:G25)</f>
        <v>273925.38137004804</v>
      </c>
      <c r="H26" s="16">
        <f>SUM(H19:H25)</f>
        <v>311422.28043050057</v>
      </c>
      <c r="I26" s="1"/>
      <c r="J26" s="1"/>
      <c r="K26" s="1"/>
      <c r="L26" s="1"/>
    </row>
    <row r="27" spans="1:12" ht="19" customHeight="1">
      <c r="A27" s="1"/>
      <c r="B27" s="1"/>
      <c r="C27" s="1" t="s">
        <v>222</v>
      </c>
      <c r="D27" s="23">
        <f>D26/D15</f>
        <v>0.33018404380815802</v>
      </c>
      <c r="E27" s="23">
        <f>E26/E15</f>
        <v>0.3259980617147259</v>
      </c>
      <c r="F27" s="23">
        <f>F26/F15</f>
        <v>0.34086750774383556</v>
      </c>
      <c r="G27" s="23">
        <f>G26/G15</f>
        <v>0.349317152762878</v>
      </c>
      <c r="H27" s="23">
        <f>H26/H15</f>
        <v>0.35385923789006263</v>
      </c>
      <c r="I27" s="1"/>
      <c r="J27" s="1"/>
      <c r="K27" s="1"/>
      <c r="L27" s="1"/>
    </row>
    <row r="28" spans="1:12" ht="19" customHeight="1">
      <c r="A28" s="1"/>
      <c r="B28" s="1"/>
      <c r="C28" s="1"/>
      <c r="D28" s="2"/>
      <c r="E28" s="2"/>
      <c r="F28" s="2"/>
      <c r="G28" s="2"/>
      <c r="H28" s="2"/>
      <c r="I28" s="1"/>
      <c r="J28" s="1"/>
      <c r="K28" s="1"/>
      <c r="L28" s="1"/>
    </row>
    <row r="29" spans="1:12" ht="19" customHeight="1">
      <c r="A29" s="1"/>
      <c r="B29" s="1"/>
      <c r="C29" s="1" t="s">
        <v>223</v>
      </c>
      <c r="D29" s="5">
        <f>D26*Assumptions!$D$13</f>
        <v>32692.926120000004</v>
      </c>
      <c r="E29" s="5">
        <f>E26*Assumptions!$D$13</f>
        <v>38495.989622400004</v>
      </c>
      <c r="F29" s="5">
        <f>F26*Assumptions!$D$13</f>
        <v>46806.948469199997</v>
      </c>
      <c r="G29" s="5">
        <f>G26*Assumptions!$D$13</f>
        <v>54785.076274009611</v>
      </c>
      <c r="H29" s="5">
        <f>H26*Assumptions!$D$13</f>
        <v>62284.456086100115</v>
      </c>
      <c r="I29" s="1"/>
      <c r="J29" s="1"/>
      <c r="K29" s="1"/>
      <c r="L29" s="1"/>
    </row>
    <row r="30" spans="1:12" ht="19" customHeight="1">
      <c r="A30" s="1"/>
      <c r="B30" s="1"/>
      <c r="C30" s="14" t="s">
        <v>224</v>
      </c>
      <c r="D30" s="16">
        <f>D26-D29</f>
        <v>130771.70448</v>
      </c>
      <c r="E30" s="16">
        <f>E26-E29</f>
        <v>153983.95848960002</v>
      </c>
      <c r="F30" s="16">
        <f>F26-F29</f>
        <v>187227.79387679999</v>
      </c>
      <c r="G30" s="16">
        <f>G26-G29</f>
        <v>219140.30509603844</v>
      </c>
      <c r="H30" s="16">
        <f>H26-H29</f>
        <v>249137.82434440046</v>
      </c>
      <c r="I30" s="1"/>
      <c r="J30" s="1"/>
      <c r="K30" s="1"/>
      <c r="L30" s="1"/>
    </row>
    <row r="31" spans="1:12" ht="19" customHeight="1">
      <c r="A31" s="1"/>
      <c r="B31" s="1"/>
      <c r="C31" s="1"/>
      <c r="D31" s="2"/>
      <c r="E31" s="2"/>
      <c r="F31" s="2"/>
      <c r="G31" s="2"/>
      <c r="H31" s="2"/>
      <c r="I31" s="1"/>
      <c r="J31" s="1"/>
      <c r="K31" s="1"/>
      <c r="L31" s="1"/>
    </row>
    <row r="32" spans="1:12" ht="19" customHeight="1">
      <c r="A32" s="1"/>
      <c r="B32" s="1"/>
      <c r="C32" s="1" t="s">
        <v>225</v>
      </c>
      <c r="D32" s="5">
        <f>D15*Assumptions!D78</f>
        <v>34654.988200000007</v>
      </c>
      <c r="E32" s="5">
        <f>E15*Assumptions!E78</f>
        <v>59043.279920000015</v>
      </c>
      <c r="F32" s="5">
        <f>F15*Assumptions!F78</f>
        <v>82390.279048320022</v>
      </c>
      <c r="G32" s="5">
        <f>G15*Assumptions!G78</f>
        <v>101942.60229264802</v>
      </c>
      <c r="H32" s="5">
        <f>H15*Assumptions!H78</f>
        <v>114409.60732680651</v>
      </c>
      <c r="I32" s="1"/>
      <c r="J32" s="1"/>
      <c r="K32" s="1"/>
      <c r="L32" s="1"/>
    </row>
    <row r="33" spans="1:12" ht="19" customHeight="1">
      <c r="A33" s="1"/>
      <c r="B33" s="1"/>
      <c r="C33" s="1" t="s">
        <v>226</v>
      </c>
      <c r="D33" s="5">
        <f>Assumptions!$D$19</f>
        <v>200000</v>
      </c>
      <c r="E33" s="5">
        <f>E15*Assumptions!E83</f>
        <v>271599.0876320001</v>
      </c>
      <c r="F33" s="5">
        <f>F15*Assumptions!F83</f>
        <v>247170.83714496007</v>
      </c>
      <c r="G33" s="5">
        <f>G15*Assumptions!G83</f>
        <v>203885.20458529604</v>
      </c>
      <c r="H33" s="5">
        <f>H15*Assumptions!H83</f>
        <v>167214.04147764028</v>
      </c>
      <c r="I33" s="1"/>
      <c r="J33" s="1"/>
      <c r="K33" s="1"/>
      <c r="L33" s="1"/>
    </row>
    <row r="34" spans="1:12" ht="19" customHeight="1">
      <c r="A34" s="1"/>
      <c r="B34" s="1"/>
      <c r="C34" s="1" t="s">
        <v>227</v>
      </c>
      <c r="D34" s="23">
        <f>D33/D15</f>
        <v>0.40398224691936269</v>
      </c>
      <c r="E34" s="23">
        <f>E33/E15</f>
        <v>0.46000000000000008</v>
      </c>
      <c r="F34" s="23">
        <f>F33/F15</f>
        <v>0.36</v>
      </c>
      <c r="G34" s="23">
        <f>G33/G15</f>
        <v>0.26</v>
      </c>
      <c r="H34" s="23">
        <f>H33/H15</f>
        <v>0.19</v>
      </c>
      <c r="I34" s="1"/>
      <c r="J34" s="1"/>
      <c r="K34" s="1"/>
      <c r="L34" s="1"/>
    </row>
    <row r="35" spans="1:12" ht="19" customHeight="1">
      <c r="A35" s="1"/>
      <c r="B35" s="1"/>
      <c r="C35" s="1"/>
      <c r="D35" s="2"/>
      <c r="E35" s="2"/>
      <c r="F35" s="2"/>
      <c r="G35" s="2"/>
      <c r="H35" s="2"/>
      <c r="I35" s="1"/>
      <c r="J35" s="1"/>
      <c r="K35" s="1"/>
      <c r="L35" s="1"/>
    </row>
    <row r="36" spans="1:12" ht="19" customHeight="1">
      <c r="A36" s="1"/>
      <c r="B36" s="1"/>
      <c r="C36" s="1" t="s">
        <v>228</v>
      </c>
      <c r="D36" s="5">
        <f>D15*Assumptions!D88</f>
        <v>49507.126000000004</v>
      </c>
      <c r="E36" s="5">
        <f>E15*Assumptions!E88</f>
        <v>59043.279920000015</v>
      </c>
      <c r="F36" s="5">
        <f>F15*Assumptions!F88</f>
        <v>68658.565873600019</v>
      </c>
      <c r="G36" s="5">
        <f>G15*Assumptions!G88</f>
        <v>78417.386378960015</v>
      </c>
      <c r="H36" s="5">
        <f>H15*Assumptions!H88</f>
        <v>88007.390251389632</v>
      </c>
      <c r="I36" s="1"/>
      <c r="J36" s="1"/>
      <c r="K36" s="1"/>
      <c r="L36" s="1"/>
    </row>
    <row r="37" spans="1:12" ht="19" customHeight="1">
      <c r="A37" s="1"/>
      <c r="B37" s="1"/>
      <c r="C37" s="1" t="s">
        <v>229</v>
      </c>
      <c r="D37" s="5">
        <f>Historicals!F40</f>
        <v>46547</v>
      </c>
      <c r="E37" s="2">
        <f>D36</f>
        <v>49507.126000000004</v>
      </c>
      <c r="F37" s="2">
        <f>E36</f>
        <v>59043.279920000015</v>
      </c>
      <c r="G37" s="2">
        <f>F36</f>
        <v>68658.565873600019</v>
      </c>
      <c r="H37" s="2">
        <f>G36</f>
        <v>78417.386378960015</v>
      </c>
      <c r="I37" s="1"/>
      <c r="J37" s="1"/>
      <c r="K37" s="1"/>
      <c r="L37" s="1"/>
    </row>
    <row r="38" spans="1:12" ht="19" customHeight="1">
      <c r="A38" s="1"/>
      <c r="B38" s="1"/>
      <c r="C38" s="1" t="s">
        <v>230</v>
      </c>
      <c r="D38" s="2">
        <f>D36-D37</f>
        <v>2960.1260000000038</v>
      </c>
      <c r="E38" s="2">
        <f>E36-E37</f>
        <v>9536.1539200000116</v>
      </c>
      <c r="F38" s="2">
        <f>F36-F37</f>
        <v>9615.2859536000033</v>
      </c>
      <c r="G38" s="2">
        <f>G36-G37</f>
        <v>9758.8205053599959</v>
      </c>
      <c r="H38" s="2">
        <f>H36-H37</f>
        <v>9590.0038724296173</v>
      </c>
      <c r="I38" s="1"/>
      <c r="J38" s="1"/>
      <c r="K38" s="1"/>
      <c r="L38" s="1"/>
    </row>
    <row r="39" spans="1:12" ht="19" customHeight="1">
      <c r="A39" s="1"/>
      <c r="B39" s="1"/>
      <c r="C39" s="1"/>
      <c r="D39" s="2"/>
      <c r="E39" s="2"/>
      <c r="F39" s="2"/>
      <c r="G39" s="2"/>
      <c r="H39" s="2"/>
      <c r="I39" s="1"/>
      <c r="J39" s="1"/>
      <c r="K39" s="1"/>
      <c r="L39" s="1"/>
    </row>
    <row r="40" spans="1:12" ht="19" customHeight="1">
      <c r="A40" s="1"/>
      <c r="B40" s="1"/>
      <c r="C40" s="14" t="s">
        <v>231</v>
      </c>
      <c r="D40" s="16">
        <f>D30+D32-D33-D38</f>
        <v>-37533.433319999996</v>
      </c>
      <c r="E40" s="16">
        <f>E30+E32-E33-E38</f>
        <v>-68108.003142400063</v>
      </c>
      <c r="F40" s="16">
        <f>F30+F32-F33-F38</f>
        <v>12831.94982655994</v>
      </c>
      <c r="G40" s="16">
        <f>G30+G32-G33-G38</f>
        <v>107438.8822980304</v>
      </c>
      <c r="H40" s="16">
        <f>H30+H32-H33-H38</f>
        <v>186743.38632113708</v>
      </c>
      <c r="I40" s="1"/>
      <c r="J40" s="1"/>
      <c r="K40" s="1"/>
      <c r="L40" s="1"/>
    </row>
    <row r="41" spans="1:12" ht="19" customHeight="1">
      <c r="A41" s="1"/>
      <c r="B41" s="1"/>
      <c r="C41" s="14" t="s">
        <v>232</v>
      </c>
      <c r="D41" s="16">
        <f>D26+D32</f>
        <v>198119.6188</v>
      </c>
      <c r="E41" s="16">
        <f>E26+E32</f>
        <v>251523.22803200001</v>
      </c>
      <c r="F41" s="16">
        <f>F26+F32</f>
        <v>316425.02139432001</v>
      </c>
      <c r="G41" s="16">
        <f>G26+G32</f>
        <v>375867.98366269609</v>
      </c>
      <c r="H41" s="16">
        <f>H26+H32</f>
        <v>425831.88775730709</v>
      </c>
      <c r="I41" s="1"/>
      <c r="J41" s="1"/>
      <c r="K41" s="1"/>
      <c r="L41" s="1"/>
    </row>
    <row r="42" spans="1:12" ht="19" customHeight="1">
      <c r="A42" s="1"/>
      <c r="B42" s="1"/>
      <c r="C42" s="1"/>
      <c r="D42" s="2"/>
      <c r="E42" s="2"/>
      <c r="F42" s="2"/>
      <c r="G42" s="2"/>
      <c r="H42" s="2"/>
      <c r="I42" s="1"/>
      <c r="J42" s="1"/>
      <c r="K42" s="1"/>
      <c r="L42" s="1"/>
    </row>
    <row r="43" spans="1:12" ht="30" customHeight="1">
      <c r="A43" s="1"/>
      <c r="B43" s="1"/>
      <c r="C43" s="42" t="s">
        <v>233</v>
      </c>
      <c r="D43" s="43"/>
      <c r="E43" s="43"/>
      <c r="F43" s="43"/>
      <c r="G43" s="43"/>
      <c r="H43" s="43"/>
      <c r="I43" s="42"/>
      <c r="J43" s="42"/>
      <c r="K43" s="1"/>
      <c r="L43" s="1"/>
    </row>
    <row r="44" spans="1:12" ht="19" customHeight="1">
      <c r="A44" s="1"/>
      <c r="B44" s="1"/>
      <c r="C44" s="1"/>
      <c r="D44" s="2"/>
      <c r="E44" s="2"/>
      <c r="F44" s="2"/>
      <c r="G44" s="2"/>
      <c r="H44" s="2"/>
      <c r="I44" s="1"/>
      <c r="J44" s="1"/>
      <c r="K44" s="1"/>
      <c r="L44" s="1"/>
    </row>
    <row r="45" spans="1:12" ht="19" customHeight="1">
      <c r="A45" s="1"/>
      <c r="B45" s="1"/>
      <c r="C45" s="1"/>
      <c r="D45" s="2"/>
      <c r="E45" s="2"/>
      <c r="F45" s="2"/>
      <c r="G45" s="2"/>
      <c r="H45" s="2"/>
      <c r="I45" s="1"/>
      <c r="J45" s="1"/>
      <c r="K45" s="1"/>
      <c r="L45" s="1"/>
    </row>
    <row r="46" spans="1:12" ht="19" customHeight="1">
      <c r="A46" s="1"/>
      <c r="B46" s="1"/>
      <c r="C46" s="7" t="s">
        <v>234</v>
      </c>
      <c r="D46" s="8"/>
      <c r="E46" s="8"/>
      <c r="F46" s="8"/>
      <c r="G46" s="8"/>
      <c r="H46" s="8"/>
      <c r="I46" s="1"/>
      <c r="J46" s="1"/>
      <c r="K46" s="1"/>
      <c r="L46" s="1"/>
    </row>
    <row r="47" spans="1:12" ht="19" customHeight="1">
      <c r="A47" s="1"/>
      <c r="B47" s="1"/>
      <c r="C47" s="1" t="s">
        <v>235</v>
      </c>
      <c r="D47" s="23">
        <f>D8/SUM(D$8:D$13)</f>
        <v>0.53005132271689326</v>
      </c>
      <c r="E47" s="23">
        <f>E8/SUM(E$8:E$13)</f>
        <v>0.49784952393952309</v>
      </c>
      <c r="F47" s="23">
        <f>F8/SUM(F$8:F$13)</f>
        <v>0.47094102925958209</v>
      </c>
      <c r="G47" s="23">
        <f>G8/SUM(G$8:G$13)</f>
        <v>0.44532045949148791</v>
      </c>
      <c r="H47" s="23">
        <f>H8/SUM(H$8:H$13)</f>
        <v>0.4245703353442869</v>
      </c>
      <c r="I47" s="1"/>
      <c r="J47" s="1"/>
      <c r="K47" s="1"/>
      <c r="L47" s="1"/>
    </row>
    <row r="48" spans="1:12" ht="19" customHeight="1">
      <c r="A48" s="1"/>
      <c r="B48" s="1"/>
      <c r="C48" s="1" t="s">
        <v>236</v>
      </c>
      <c r="D48" s="2">
        <f>D$32*D47</f>
        <v>18368.92233414833</v>
      </c>
      <c r="E48" s="2">
        <f>E$32*E47</f>
        <v>29394.66880000001</v>
      </c>
      <c r="F48" s="2">
        <f>F$32*F47</f>
        <v>38800.962816000014</v>
      </c>
      <c r="G48" s="2">
        <f>G$32*G47</f>
        <v>45397.126494720025</v>
      </c>
      <c r="H48" s="2">
        <f>H$32*H47</f>
        <v>48574.925349350422</v>
      </c>
      <c r="I48" s="1"/>
      <c r="J48" s="1"/>
      <c r="K48" s="1"/>
      <c r="L48" s="1"/>
    </row>
    <row r="49" spans="1:12" ht="19" customHeight="1">
      <c r="A49" s="1"/>
      <c r="B49" s="1"/>
      <c r="C49" s="1" t="s">
        <v>237</v>
      </c>
      <c r="D49" s="2">
        <f>D$33*D47</f>
        <v>106010.26454337865</v>
      </c>
      <c r="E49" s="2">
        <f>E$33*E47</f>
        <v>135215.47648000007</v>
      </c>
      <c r="F49" s="2">
        <f>F$33*F47</f>
        <v>116402.88844800004</v>
      </c>
      <c r="G49" s="2">
        <f>G$33*G47</f>
        <v>90794.25298944005</v>
      </c>
      <c r="H49" s="2">
        <f>H$33*H47</f>
        <v>70994.121664435224</v>
      </c>
      <c r="I49" s="1"/>
      <c r="J49" s="1"/>
      <c r="K49" s="1"/>
      <c r="L49" s="1"/>
    </row>
    <row r="50" spans="1:12" ht="19" customHeight="1">
      <c r="A50" s="1"/>
      <c r="B50" s="1"/>
      <c r="C50" s="1" t="s">
        <v>238</v>
      </c>
      <c r="D50" s="2">
        <f>D$38*D47</f>
        <v>1569.0187017086685</v>
      </c>
      <c r="E50" s="2">
        <f>E$38*E47</f>
        <v>4747.5696892860224</v>
      </c>
      <c r="F50" s="2">
        <f>F$38*F47</f>
        <v>4528.2326636135876</v>
      </c>
      <c r="G50" s="2">
        <f>G$38*G47</f>
        <v>4345.8024315418679</v>
      </c>
      <c r="H50" s="2">
        <f>H$38*H47</f>
        <v>4071.6311600704526</v>
      </c>
      <c r="I50" s="1"/>
      <c r="J50" s="1"/>
      <c r="K50" s="1"/>
      <c r="L50" s="1"/>
    </row>
    <row r="51" spans="1:12" ht="19" customHeight="1">
      <c r="A51" s="1"/>
      <c r="B51" s="1"/>
      <c r="C51" s="1" t="s">
        <v>239</v>
      </c>
      <c r="D51" s="5">
        <f>D19*(1-Assumptions!$D$13)+D48-D49-D50</f>
        <v>-3125.9737109389935</v>
      </c>
      <c r="E51" s="5">
        <f>E19*(1-Assumptions!$D$13)+E48-E49-E50</f>
        <v>-14153.86370528605</v>
      </c>
      <c r="F51" s="5">
        <f>F19*(1-Assumptions!$D$13)+F48-F49-F50</f>
        <v>26512.537589186406</v>
      </c>
      <c r="G51" s="5">
        <f>G19*(1-Assumptions!$D$13)+G48-G49-G50</f>
        <v>67591.182629322167</v>
      </c>
      <c r="H51" s="5">
        <f>H19*(1-Assumptions!$D$13)+H48-H49-H50</f>
        <v>99056.671889319667</v>
      </c>
      <c r="I51" s="1"/>
      <c r="J51" s="1"/>
      <c r="K51" s="1"/>
      <c r="L51" s="1"/>
    </row>
    <row r="52" spans="1:12" ht="19" customHeight="1">
      <c r="A52" s="1"/>
      <c r="B52" s="1"/>
      <c r="C52" s="1"/>
      <c r="D52" s="2"/>
      <c r="E52" s="2"/>
      <c r="F52" s="2"/>
      <c r="G52" s="2"/>
      <c r="H52" s="2"/>
      <c r="I52" s="1"/>
      <c r="J52" s="1"/>
      <c r="K52" s="1"/>
      <c r="L52" s="1"/>
    </row>
    <row r="53" spans="1:12" ht="19" customHeight="1">
      <c r="A53" s="1"/>
      <c r="B53" s="1"/>
      <c r="C53" s="7" t="s">
        <v>240</v>
      </c>
      <c r="D53" s="8"/>
      <c r="E53" s="8"/>
      <c r="F53" s="8"/>
      <c r="G53" s="8"/>
      <c r="H53" s="8"/>
      <c r="I53" s="1"/>
      <c r="J53" s="1"/>
      <c r="K53" s="1"/>
      <c r="L53" s="1"/>
    </row>
    <row r="54" spans="1:12" ht="19" customHeight="1">
      <c r="A54" s="1"/>
      <c r="B54" s="1"/>
      <c r="C54" s="1" t="s">
        <v>235</v>
      </c>
      <c r="D54" s="23">
        <f>D9/SUM(D$8:D$13)</f>
        <v>9.1681620864148022E-2</v>
      </c>
      <c r="E54" s="23">
        <f>E9/SUM(E$8:E$13)</f>
        <v>8.6111758135539548E-2</v>
      </c>
      <c r="F54" s="23">
        <f>F9/SUM(F$8:F$13)</f>
        <v>8.2197987076948628E-2</v>
      </c>
      <c r="G54" s="23">
        <f>G9/SUM(G$8:G$13)</f>
        <v>7.9165549734588503E-2</v>
      </c>
      <c r="H54" s="23">
        <f>H9/SUM(H$8:H$13)</f>
        <v>7.6887537253870084E-2</v>
      </c>
      <c r="I54" s="1"/>
      <c r="J54" s="1"/>
      <c r="K54" s="1"/>
      <c r="L54" s="1"/>
    </row>
    <row r="55" spans="1:12" ht="19" customHeight="1">
      <c r="A55" s="1"/>
      <c r="B55" s="1"/>
      <c r="C55" s="1" t="s">
        <v>236</v>
      </c>
      <c r="D55" s="2">
        <f>D$32*D54</f>
        <v>3177.2254892039241</v>
      </c>
      <c r="E55" s="2">
        <f>E$32*E54</f>
        <v>5084.3206399999999</v>
      </c>
      <c r="F55" s="2">
        <f>F$32*F54</f>
        <v>6772.3150924800002</v>
      </c>
      <c r="G55" s="2">
        <f>G$32*G54</f>
        <v>8070.3421518720033</v>
      </c>
      <c r="H55" s="2">
        <f>H$32*H54</f>
        <v>8796.6729455404839</v>
      </c>
      <c r="I55" s="1"/>
      <c r="J55" s="1"/>
      <c r="K55" s="1"/>
      <c r="L55" s="1"/>
    </row>
    <row r="56" spans="1:12" ht="19" customHeight="1">
      <c r="A56" s="1"/>
      <c r="B56" s="1"/>
      <c r="C56" s="1" t="s">
        <v>237</v>
      </c>
      <c r="D56" s="2">
        <f>D$33*D54</f>
        <v>18336.324172829605</v>
      </c>
      <c r="E56" s="2">
        <f>E$33*E54</f>
        <v>23387.874944000003</v>
      </c>
      <c r="F56" s="2">
        <f>F$33*F54</f>
        <v>20316.945277440002</v>
      </c>
      <c r="G56" s="2">
        <f>G$33*G54</f>
        <v>16140.684303744007</v>
      </c>
      <c r="H56" s="2">
        <f>H$33*H54</f>
        <v>12856.675843482244</v>
      </c>
      <c r="I56" s="1"/>
      <c r="J56" s="1"/>
      <c r="K56" s="1"/>
      <c r="L56" s="1"/>
    </row>
    <row r="57" spans="1:12" ht="19" customHeight="1">
      <c r="A57" s="1"/>
      <c r="B57" s="1"/>
      <c r="C57" s="1" t="s">
        <v>238</v>
      </c>
      <c r="D57" s="2">
        <f>D$38*D54</f>
        <v>271.38914964210738</v>
      </c>
      <c r="E57" s="2">
        <f>E$38*E54</f>
        <v>821.17497990231834</v>
      </c>
      <c r="F57" s="2">
        <f>F$38*F54</f>
        <v>790.35715055517869</v>
      </c>
      <c r="G57" s="2">
        <f>G$38*G54</f>
        <v>772.56239006799888</v>
      </c>
      <c r="H57" s="2">
        <f>H$38*H54</f>
        <v>737.35178000619055</v>
      </c>
      <c r="I57" s="1"/>
      <c r="J57" s="1"/>
      <c r="K57" s="1"/>
      <c r="L57" s="1"/>
    </row>
    <row r="58" spans="1:12" ht="19" customHeight="1">
      <c r="A58" s="1"/>
      <c r="B58" s="1"/>
      <c r="C58" s="1" t="s">
        <v>239</v>
      </c>
      <c r="D58" s="5">
        <f>D20*(1-Assumptions!$D$13)+D55-D56-D57</f>
        <v>-540.69167326779097</v>
      </c>
      <c r="E58" s="5">
        <f>E20*(1-Assumptions!$D$13)+E55-E56-E57</f>
        <v>-2448.1575847023214</v>
      </c>
      <c r="F58" s="5">
        <f>F20*(1-Assumptions!$D$13)+F55-F56-F57</f>
        <v>4627.4949234288197</v>
      </c>
      <c r="G58" s="5">
        <f>G20*(1-Assumptions!$D$13)+G55-G56-G57</f>
        <v>12015.825942898406</v>
      </c>
      <c r="H58" s="5">
        <f>H20*(1-Assumptions!$D$13)+H55-H56-H57</f>
        <v>17938.661550525914</v>
      </c>
      <c r="I58" s="1"/>
      <c r="J58" s="1"/>
      <c r="K58" s="1"/>
      <c r="L58" s="1"/>
    </row>
    <row r="59" spans="1:12" ht="19" customHeight="1">
      <c r="A59" s="1"/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</row>
    <row r="60" spans="1:12" ht="19" customHeight="1">
      <c r="A60" s="1"/>
      <c r="B60" s="1"/>
      <c r="C60" s="7" t="s">
        <v>241</v>
      </c>
      <c r="D60" s="8"/>
      <c r="E60" s="8"/>
      <c r="F60" s="8"/>
      <c r="G60" s="8"/>
      <c r="H60" s="8"/>
      <c r="I60" s="1"/>
      <c r="J60" s="1"/>
      <c r="K60" s="1"/>
      <c r="L60" s="1"/>
    </row>
    <row r="61" spans="1:12" ht="19" customHeight="1">
      <c r="A61" s="1"/>
      <c r="B61" s="1"/>
      <c r="C61" s="1" t="s">
        <v>235</v>
      </c>
      <c r="D61" s="23">
        <f>D10/SUM(D$8:D$13)</f>
        <v>5.8876379024611888E-2</v>
      </c>
      <c r="E61" s="23">
        <f>E10/SUM(E$8:E$13)</f>
        <v>4.838706934762034E-2</v>
      </c>
      <c r="F61" s="23">
        <f>F10/SUM(F$8:F$13)</f>
        <v>4.1194597224867707E-2</v>
      </c>
      <c r="G61" s="23">
        <f>G10/SUM(G$8:G$13)</f>
        <v>3.6068046868224513E-2</v>
      </c>
      <c r="H61" s="23">
        <f>H10/SUM(H$8:H$13)</f>
        <v>3.2137777965246965E-2</v>
      </c>
      <c r="I61" s="1"/>
      <c r="J61" s="1"/>
      <c r="K61" s="1"/>
      <c r="L61" s="1"/>
    </row>
    <row r="62" spans="1:12" ht="19" customHeight="1">
      <c r="A62" s="1"/>
      <c r="B62" s="1"/>
      <c r="C62" s="1" t="s">
        <v>236</v>
      </c>
      <c r="D62" s="2">
        <f>D$32*D61</f>
        <v>2040.3602203566529</v>
      </c>
      <c r="E62" s="2">
        <f>E$32*E61</f>
        <v>2856.9312800000002</v>
      </c>
      <c r="F62" s="2">
        <f>F$32*F61</f>
        <v>3394.0343606400002</v>
      </c>
      <c r="G62" s="2">
        <f>G$32*G61</f>
        <v>3676.8705573600005</v>
      </c>
      <c r="H62" s="2">
        <f>H$32*H61</f>
        <v>3676.87055736</v>
      </c>
      <c r="I62" s="1"/>
      <c r="J62" s="1"/>
      <c r="K62" s="1"/>
      <c r="L62" s="1"/>
    </row>
    <row r="63" spans="1:12" ht="19" customHeight="1">
      <c r="A63" s="1"/>
      <c r="B63" s="1"/>
      <c r="C63" s="1" t="s">
        <v>237</v>
      </c>
      <c r="D63" s="2">
        <f>D$33*D61</f>
        <v>11775.275804922378</v>
      </c>
      <c r="E63" s="2">
        <f>E$33*E61</f>
        <v>13141.883888000002</v>
      </c>
      <c r="F63" s="2">
        <f>F$33*F61</f>
        <v>10182.10308192</v>
      </c>
      <c r="G63" s="2">
        <f>G$33*G61</f>
        <v>7353.741114720001</v>
      </c>
      <c r="H63" s="2">
        <f>H$33*H61</f>
        <v>5373.8877376800001</v>
      </c>
      <c r="I63" s="1"/>
      <c r="J63" s="1"/>
      <c r="K63" s="1"/>
      <c r="L63" s="1"/>
    </row>
    <row r="64" spans="1:12" ht="19" customHeight="1">
      <c r="A64" s="1"/>
      <c r="B64" s="1"/>
      <c r="C64" s="1" t="s">
        <v>238</v>
      </c>
      <c r="D64" s="2">
        <f>D$38*D61</f>
        <v>174.28150033660853</v>
      </c>
      <c r="E64" s="2">
        <f>E$38*E61</f>
        <v>461.4265410366221</v>
      </c>
      <c r="F64" s="2">
        <f>F$38*F61</f>
        <v>396.09783206048013</v>
      </c>
      <c r="G64" s="2">
        <f>G$38*G61</f>
        <v>351.98159536591476</v>
      </c>
      <c r="H64" s="2">
        <f>H$38*H61</f>
        <v>308.20141513800161</v>
      </c>
      <c r="I64" s="1"/>
      <c r="J64" s="1"/>
      <c r="K64" s="1"/>
      <c r="L64" s="1"/>
    </row>
    <row r="65" spans="1:12" ht="19" customHeight="1">
      <c r="A65" s="1"/>
      <c r="B65" s="1"/>
      <c r="C65" s="1" t="s">
        <v>239</v>
      </c>
      <c r="D65" s="5">
        <f>D21*(1-Assumptions!$D$13)+D62-D63-D64</f>
        <v>-347.22300490233278</v>
      </c>
      <c r="E65" s="5">
        <f>E21*(1-Assumptions!$D$13)+E62-E63-E64</f>
        <v>-1375.6445506366231</v>
      </c>
      <c r="F65" s="5">
        <f>F21*(1-Assumptions!$D$13)+F62-F63-F64</f>
        <v>2319.1296564515205</v>
      </c>
      <c r="G65" s="5">
        <f>G21*(1-Assumptions!$D$13)+G62-G63-G64</f>
        <v>5474.4440570660854</v>
      </c>
      <c r="H65" s="5">
        <f>H21*(1-Assumptions!$D$13)+H62-H63-H64</f>
        <v>7498.077614333999</v>
      </c>
      <c r="I65" s="1"/>
      <c r="J65" s="1"/>
      <c r="K65" s="1"/>
      <c r="L65" s="1"/>
    </row>
    <row r="66" spans="1:12" ht="19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</row>
    <row r="67" spans="1:12" ht="19" customHeight="1">
      <c r="A67" s="1"/>
      <c r="B67" s="1"/>
      <c r="C67" s="7" t="s">
        <v>242</v>
      </c>
      <c r="D67" s="8"/>
      <c r="E67" s="8"/>
      <c r="F67" s="8"/>
      <c r="G67" s="8"/>
      <c r="H67" s="8"/>
      <c r="I67" s="1"/>
      <c r="J67" s="1"/>
      <c r="K67" s="1"/>
      <c r="L67" s="1"/>
    </row>
    <row r="68" spans="1:12" ht="19" customHeight="1">
      <c r="A68" s="1"/>
      <c r="B68" s="1"/>
      <c r="C68" s="1" t="s">
        <v>235</v>
      </c>
      <c r="D68" s="23">
        <f>D11/SUM(D$8:D$13)</f>
        <v>0.1130469874638404</v>
      </c>
      <c r="E68" s="23">
        <f>E11/SUM(E$8:E$13)</f>
        <v>0.10902321498266788</v>
      </c>
      <c r="F68" s="23">
        <f>F11/SUM(F$8:F$13)</f>
        <v>0.10594322170071567</v>
      </c>
      <c r="G68" s="23">
        <f>G11/SUM(G$8:G$13)</f>
        <v>0.10388995606854147</v>
      </c>
      <c r="H68" s="23">
        <f>H11/SUM(H$8:H$13)</f>
        <v>0.10182618394789292</v>
      </c>
      <c r="I68" s="1"/>
      <c r="J68" s="1"/>
      <c r="K68" s="1"/>
      <c r="L68" s="1"/>
    </row>
    <row r="69" spans="1:12" ht="19" customHeight="1">
      <c r="A69" s="1"/>
      <c r="B69" s="1"/>
      <c r="C69" s="1" t="s">
        <v>236</v>
      </c>
      <c r="D69" s="2">
        <f>D$32*D68</f>
        <v>3917.6420166049379</v>
      </c>
      <c r="E69" s="2">
        <f>E$32*E68</f>
        <v>6437.0881999999992</v>
      </c>
      <c r="F69" s="2">
        <f>F$32*F68</f>
        <v>8728.6915991999977</v>
      </c>
      <c r="G69" s="2">
        <f>G$32*G68</f>
        <v>10590.812473695998</v>
      </c>
      <c r="H69" s="2">
        <f>H$32*H68</f>
        <v>11649.893721065597</v>
      </c>
      <c r="I69" s="1"/>
      <c r="J69" s="1"/>
      <c r="K69" s="1"/>
      <c r="L69" s="1"/>
    </row>
    <row r="70" spans="1:12" ht="19" customHeight="1">
      <c r="A70" s="1"/>
      <c r="B70" s="1"/>
      <c r="C70" s="1" t="s">
        <v>237</v>
      </c>
      <c r="D70" s="2">
        <f>D$33*D68</f>
        <v>22609.397492768079</v>
      </c>
      <c r="E70" s="2">
        <f>E$33*E68</f>
        <v>29610.60572</v>
      </c>
      <c r="F70" s="2">
        <f>F$33*F68</f>
        <v>26186.074797599991</v>
      </c>
      <c r="G70" s="2">
        <f>G$33*G68</f>
        <v>21181.624947391996</v>
      </c>
      <c r="H70" s="2">
        <f>H$33*H68</f>
        <v>17026.767746172794</v>
      </c>
      <c r="I70" s="1"/>
      <c r="J70" s="1"/>
      <c r="K70" s="1"/>
      <c r="L70" s="1"/>
    </row>
    <row r="71" spans="1:12" ht="19" customHeight="1">
      <c r="A71" s="1"/>
      <c r="B71" s="1"/>
      <c r="C71" s="1" t="s">
        <v>238</v>
      </c>
      <c r="D71" s="2">
        <f>D$38*D68</f>
        <v>334.63332681338846</v>
      </c>
      <c r="E71" s="2">
        <f>E$38*E68</f>
        <v>1039.6621589279723</v>
      </c>
      <c r="F71" s="2">
        <f>F$38*F68</f>
        <v>1018.6743714980224</v>
      </c>
      <c r="G71" s="2">
        <f>G$38*G68</f>
        <v>1013.8434335826316</v>
      </c>
      <c r="H71" s="2">
        <f>H$38*H68</f>
        <v>976.51349837502357</v>
      </c>
      <c r="I71" s="1"/>
      <c r="J71" s="1"/>
      <c r="K71" s="1"/>
      <c r="L71" s="1"/>
    </row>
    <row r="72" spans="1:12" ht="19" customHeight="1">
      <c r="A72" s="1"/>
      <c r="B72" s="1"/>
      <c r="C72" s="1" t="s">
        <v>239</v>
      </c>
      <c r="D72" s="5">
        <f>D22*(1-Assumptions!$D$13)+D69-D70-D71</f>
        <v>-666.6937629765298</v>
      </c>
      <c r="E72" s="5">
        <f>E22*(1-Assumptions!$D$13)+E69-E70-E71</f>
        <v>-3099.5303829279774</v>
      </c>
      <c r="F72" s="5">
        <f>F22*(1-Assumptions!$D$13)+F69-F70-F71</f>
        <v>5964.278907861979</v>
      </c>
      <c r="G72" s="5">
        <f>G22*(1-Assumptions!$D$13)+G69-G70-G71</f>
        <v>15768.520947812569</v>
      </c>
      <c r="H72" s="5">
        <f>H22*(1-Assumptions!$D$13)+H69-H70-H71</f>
        <v>23757.107017118091</v>
      </c>
      <c r="I72" s="1"/>
      <c r="J72" s="1"/>
      <c r="K72" s="1"/>
      <c r="L72" s="1"/>
    </row>
    <row r="73" spans="1:12" ht="19" customHeight="1">
      <c r="A73" s="1"/>
      <c r="B73" s="1"/>
      <c r="C73" s="1"/>
      <c r="D73" s="2"/>
      <c r="E73" s="2"/>
      <c r="F73" s="2"/>
      <c r="G73" s="2"/>
      <c r="H73" s="2"/>
      <c r="I73" s="1"/>
      <c r="J73" s="1"/>
      <c r="K73" s="1"/>
      <c r="L73" s="1"/>
    </row>
    <row r="74" spans="1:12" ht="19" customHeight="1">
      <c r="A74" s="1"/>
      <c r="B74" s="1"/>
      <c r="C74" s="7" t="s">
        <v>243</v>
      </c>
      <c r="D74" s="8"/>
      <c r="E74" s="8"/>
      <c r="F74" s="8"/>
      <c r="G74" s="8"/>
      <c r="H74" s="8"/>
      <c r="I74" s="1"/>
      <c r="J74" s="1"/>
      <c r="K74" s="1"/>
      <c r="L74" s="1"/>
    </row>
    <row r="75" spans="1:12" ht="19" customHeight="1">
      <c r="A75" s="1"/>
      <c r="B75" s="1"/>
      <c r="C75" s="1" t="s">
        <v>235</v>
      </c>
      <c r="D75" s="23">
        <f>D12/SUM(D$8:D$13)</f>
        <v>0.20315593852196021</v>
      </c>
      <c r="E75" s="23">
        <f>E12/SUM(E$8:E$13)</f>
        <v>0.25555414638963703</v>
      </c>
      <c r="F75" s="23">
        <f>F12/SUM(F$8:F$13)</f>
        <v>0.29668285363694763</v>
      </c>
      <c r="G75" s="23">
        <f>G12/SUM(G$8:G$13)</f>
        <v>0.33249474184204242</v>
      </c>
      <c r="H75" s="23">
        <f>H12/SUM(H$8:H$13)</f>
        <v>0.3614413477088389</v>
      </c>
      <c r="I75" s="1"/>
      <c r="J75" s="1"/>
      <c r="K75" s="1"/>
      <c r="L75" s="1"/>
    </row>
    <row r="76" spans="1:12" ht="19" customHeight="1">
      <c r="A76" s="1"/>
      <c r="B76" s="1"/>
      <c r="C76" s="1" t="s">
        <v>236</v>
      </c>
      <c r="D76" s="2">
        <f>D$32*D75</f>
        <v>7040.3666522384574</v>
      </c>
      <c r="E76" s="2">
        <f>E$32*E75</f>
        <v>15088.755000000001</v>
      </c>
      <c r="F76" s="2">
        <f>F$32*F75</f>
        <v>24443.783100000001</v>
      </c>
      <c r="G76" s="2">
        <f>G$32*G75</f>
        <v>33895.379232000007</v>
      </c>
      <c r="H76" s="2">
        <f>H$32*H75</f>
        <v>41352.362663039996</v>
      </c>
      <c r="I76" s="1"/>
      <c r="J76" s="1"/>
      <c r="K76" s="1"/>
      <c r="L76" s="1"/>
    </row>
    <row r="77" spans="1:12" ht="19" customHeight="1">
      <c r="A77" s="1"/>
      <c r="B77" s="1"/>
      <c r="C77" s="1" t="s">
        <v>237</v>
      </c>
      <c r="D77" s="2">
        <f>D$33*D75</f>
        <v>40631.187704392039</v>
      </c>
      <c r="E77" s="2">
        <f>E$33*E75</f>
        <v>69408.273000000001</v>
      </c>
      <c r="F77" s="2">
        <f>F$33*F75</f>
        <v>73331.349300000002</v>
      </c>
      <c r="G77" s="2">
        <f>G$33*G75</f>
        <v>67790.758464000013</v>
      </c>
      <c r="H77" s="2">
        <f>H$33*H75</f>
        <v>60438.068507519987</v>
      </c>
      <c r="I77" s="1"/>
      <c r="J77" s="1"/>
      <c r="K77" s="1"/>
      <c r="L77" s="1"/>
    </row>
    <row r="78" spans="1:12" ht="19" customHeight="1">
      <c r="A78" s="1"/>
      <c r="B78" s="1"/>
      <c r="C78" s="1" t="s">
        <v>238</v>
      </c>
      <c r="D78" s="2">
        <f>D$38*D75</f>
        <v>601.36717567325672</v>
      </c>
      <c r="E78" s="2">
        <f>E$38*E75</f>
        <v>2437.003674865794</v>
      </c>
      <c r="F78" s="2">
        <f>F$38*F75</f>
        <v>2852.6904752493083</v>
      </c>
      <c r="G78" s="2">
        <f>G$38*G75</f>
        <v>3244.7565046125019</v>
      </c>
      <c r="H78" s="2">
        <f>H$38*H75</f>
        <v>3466.2239241839447</v>
      </c>
      <c r="I78" s="1"/>
      <c r="J78" s="1"/>
      <c r="K78" s="1"/>
      <c r="L78" s="1"/>
    </row>
    <row r="79" spans="1:12" ht="19" customHeight="1">
      <c r="A79" s="1"/>
      <c r="B79" s="1"/>
      <c r="C79" s="1" t="s">
        <v>239</v>
      </c>
      <c r="D79" s="5">
        <f>D23*(1-Assumptions!$D$13)+D76-D77-D78</f>
        <v>-6831.2458278268368</v>
      </c>
      <c r="E79" s="5">
        <f>E23*(1-Assumptions!$D$13)+E76-E77-E78</f>
        <v>-16922.208474865787</v>
      </c>
      <c r="F79" s="5">
        <f>F23*(1-Assumptions!$D$13)+F76-F77-F78</f>
        <v>3665.6516847506919</v>
      </c>
      <c r="G79" s="5">
        <f>G23*(1-Assumptions!$D$13)+G76-G77-G78</f>
        <v>35865.296455387499</v>
      </c>
      <c r="H79" s="5">
        <f>H23*(1-Assumptions!$D$13)+H76-H77-H78</f>
        <v>69059.458284840061</v>
      </c>
      <c r="I79" s="1"/>
      <c r="J79" s="1"/>
      <c r="K79" s="1"/>
      <c r="L79" s="1"/>
    </row>
    <row r="80" spans="1:12" ht="19" customHeight="1">
      <c r="A80" s="1"/>
      <c r="B80" s="1"/>
      <c r="C80" s="1"/>
      <c r="D80" s="2"/>
      <c r="E80" s="2"/>
      <c r="F80" s="2"/>
      <c r="G80" s="2"/>
      <c r="H80" s="2"/>
      <c r="I80" s="1"/>
      <c r="J80" s="1"/>
      <c r="K80" s="1"/>
      <c r="L80" s="1"/>
    </row>
    <row r="81" spans="1:12" ht="19" customHeight="1">
      <c r="A81" s="1"/>
      <c r="B81" s="1"/>
      <c r="C81" s="7" t="s">
        <v>244</v>
      </c>
      <c r="D81" s="8"/>
      <c r="E81" s="8"/>
      <c r="F81" s="8"/>
      <c r="G81" s="8"/>
      <c r="H81" s="8"/>
      <c r="I81" s="1"/>
      <c r="J81" s="1"/>
      <c r="K81" s="1"/>
      <c r="L81" s="1"/>
    </row>
    <row r="82" spans="1:12" ht="19" customHeight="1">
      <c r="A82" s="1"/>
      <c r="B82" s="1"/>
      <c r="C82" s="1" t="s">
        <v>235</v>
      </c>
      <c r="D82" s="23">
        <f>D13/SUM(D$8:D$13)</f>
        <v>3.1877514085462519E-3</v>
      </c>
      <c r="E82" s="23">
        <f>E13/SUM(E$8:E$13)</f>
        <v>3.074287205012034E-3</v>
      </c>
      <c r="F82" s="23">
        <f>F13/SUM(F$8:F$13)</f>
        <v>3.0403111009381588E-3</v>
      </c>
      <c r="G82" s="23">
        <f>G13/SUM(G$8:G$13)</f>
        <v>3.0612459951152946E-3</v>
      </c>
      <c r="H82" s="23">
        <f>H13/SUM(H$8:H$13)</f>
        <v>3.1368177798641286E-3</v>
      </c>
      <c r="I82" s="1"/>
      <c r="J82" s="1"/>
      <c r="K82" s="1"/>
      <c r="L82" s="1"/>
    </row>
    <row r="83" spans="1:12" ht="19" customHeight="1">
      <c r="A83" s="1"/>
      <c r="B83" s="1"/>
      <c r="C83" s="1" t="s">
        <v>236</v>
      </c>
      <c r="D83" s="2">
        <f>D$32*D82</f>
        <v>110.47148744770377</v>
      </c>
      <c r="E83" s="2">
        <f>E$32*E82</f>
        <v>181.51599999999999</v>
      </c>
      <c r="F83" s="2">
        <f>F$32*F82</f>
        <v>250.49207999999996</v>
      </c>
      <c r="G83" s="2">
        <f>G$32*G82</f>
        <v>312.07138300000003</v>
      </c>
      <c r="H83" s="2">
        <f>H$32*H82</f>
        <v>358.88209044999996</v>
      </c>
      <c r="I83" s="1"/>
      <c r="J83" s="1"/>
      <c r="K83" s="1"/>
      <c r="L83" s="1"/>
    </row>
    <row r="84" spans="1:12" ht="19" customHeight="1">
      <c r="A84" s="1"/>
      <c r="B84" s="1"/>
      <c r="C84" s="1" t="s">
        <v>237</v>
      </c>
      <c r="D84" s="2">
        <f>D$33*D82</f>
        <v>637.55028170925038</v>
      </c>
      <c r="E84" s="2">
        <f>E$33*E82</f>
        <v>834.97360000000003</v>
      </c>
      <c r="F84" s="2">
        <f>F$33*F82</f>
        <v>751.47623999999996</v>
      </c>
      <c r="G84" s="2">
        <f>G$33*G82</f>
        <v>624.14276600000005</v>
      </c>
      <c r="H84" s="2">
        <f>H$33*H82</f>
        <v>524.51997834999986</v>
      </c>
      <c r="I84" s="1"/>
      <c r="J84" s="1"/>
      <c r="K84" s="1"/>
      <c r="L84" s="1"/>
    </row>
    <row r="85" spans="1:12" ht="19" customHeight="1">
      <c r="A85" s="1"/>
      <c r="B85" s="1"/>
      <c r="C85" s="1" t="s">
        <v>238</v>
      </c>
      <c r="D85" s="2">
        <f>D$38*D82</f>
        <v>9.4361458259743944</v>
      </c>
      <c r="E85" s="2">
        <f>E$38*E82</f>
        <v>29.316875981281388</v>
      </c>
      <c r="F85" s="2">
        <f>F$38*F82</f>
        <v>29.23346062342484</v>
      </c>
      <c r="G85" s="2">
        <f>G$38*G82</f>
        <v>29.874150189082304</v>
      </c>
      <c r="H85" s="2">
        <f>H$38*H82</f>
        <v>30.082094656003068</v>
      </c>
      <c r="I85" s="1"/>
      <c r="J85" s="1"/>
      <c r="K85" s="1"/>
      <c r="L85" s="1"/>
    </row>
    <row r="86" spans="1:12" ht="19" customHeight="1">
      <c r="A86" s="1"/>
      <c r="B86" s="1"/>
      <c r="C86" s="1" t="s">
        <v>239</v>
      </c>
      <c r="D86" s="5">
        <f>D24*(1-Assumptions!$D$13)+D83-D84-D85</f>
        <v>-6218.7549400875214</v>
      </c>
      <c r="E86" s="5">
        <f>E24*(1-Assumptions!$D$13)+E83-E84-E85</f>
        <v>-6491.2864759812819</v>
      </c>
      <c r="F86" s="5">
        <f>F24*(1-Assumptions!$D$13)+F83-F84-F85</f>
        <v>-5540.0592206234242</v>
      </c>
      <c r="G86" s="5">
        <f>G24*(1-Assumptions!$D$13)+G83-G84-G85</f>
        <v>-4182.8240931890823</v>
      </c>
      <c r="H86" s="5">
        <f>H24*(1-Assumptions!$D$13)+H83-H84-H85</f>
        <v>-2404.2251545560025</v>
      </c>
      <c r="I86" s="1"/>
      <c r="J86" s="1"/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1"/>
      <c r="D88" s="2"/>
      <c r="E88" s="2"/>
      <c r="F88" s="2"/>
      <c r="G88" s="2"/>
      <c r="H88" s="2"/>
      <c r="I88" s="1"/>
      <c r="J88" s="1"/>
      <c r="K88" s="1"/>
      <c r="L88" s="1"/>
    </row>
    <row r="89" spans="1:12" ht="19" customHeight="1">
      <c r="A89" s="1"/>
      <c r="B89" s="1"/>
      <c r="C89" s="1"/>
      <c r="D89" s="2"/>
      <c r="E89" s="2"/>
      <c r="F89" s="2"/>
      <c r="G89" s="2"/>
      <c r="H89" s="2"/>
      <c r="I89" s="1"/>
      <c r="J89" s="1"/>
      <c r="K89" s="1"/>
      <c r="L89" s="1"/>
    </row>
    <row r="90" spans="1:12" ht="19" customHeight="1">
      <c r="A90" s="1"/>
      <c r="B90" s="1"/>
      <c r="C90" s="14" t="s">
        <v>245</v>
      </c>
      <c r="D90" s="27">
        <f>SUM(D51,D58,D65,D72,D79,D86)+D25*(1-Assumptions!$D$13)-D40</f>
        <v>0</v>
      </c>
      <c r="E90" s="27">
        <f>SUM(E51,E58,E65,E72,E79,E86)+E25*(1-Assumptions!$D$13)-E40</f>
        <v>0</v>
      </c>
      <c r="F90" s="27">
        <f>SUM(F51,F58,F65,F72,F79,F86)+F25*(1-Assumptions!$D$13)-F40</f>
        <v>4.3655745685100555E-11</v>
      </c>
      <c r="G90" s="27">
        <f>SUM(G51,G58,G65,G72,G79,G86)+G25*(1-Assumptions!$D$13)-G40</f>
        <v>0</v>
      </c>
      <c r="H90" s="27">
        <f>SUM(H51,H58,H65,H72,H79,H86)+H25*(1-Assumptions!$D$13)-H40</f>
        <v>0</v>
      </c>
      <c r="I90" s="1"/>
      <c r="J90" s="1"/>
      <c r="K90" s="1"/>
      <c r="L90" s="1"/>
    </row>
    <row r="91" spans="1:12" ht="19" customHeight="1">
      <c r="A91" s="1"/>
      <c r="B91" s="1"/>
      <c r="C91" s="1"/>
      <c r="D91" s="2"/>
      <c r="E91" s="2"/>
      <c r="F91" s="2"/>
      <c r="G91" s="2"/>
      <c r="H91" s="2"/>
      <c r="I91" s="1"/>
      <c r="J91" s="1"/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19" customHeight="1">
      <c r="A93" s="1"/>
      <c r="B93" s="1"/>
      <c r="C93" s="7" t="s">
        <v>246</v>
      </c>
      <c r="D93" s="8"/>
      <c r="E93" s="8"/>
      <c r="F93" s="8"/>
      <c r="G93" s="8"/>
      <c r="H93" s="8"/>
      <c r="I93" s="1"/>
      <c r="J93" s="1"/>
      <c r="K93" s="1"/>
      <c r="L93" s="1"/>
    </row>
    <row r="94" spans="1:12" ht="19" customHeight="1">
      <c r="A94" s="1"/>
      <c r="B94" s="1"/>
      <c r="C94" s="1" t="s">
        <v>247</v>
      </c>
      <c r="D94" s="5">
        <f>Historicals!H22*(1-Assumptions!$D$13)</f>
        <v>64372.800000000003</v>
      </c>
      <c r="E94" s="2"/>
      <c r="F94" s="2"/>
      <c r="G94" s="2"/>
      <c r="H94" s="2"/>
      <c r="I94" s="1"/>
      <c r="J94" s="1"/>
      <c r="K94" s="1"/>
      <c r="L94" s="1"/>
    </row>
    <row r="95" spans="1:12" ht="19" customHeight="1">
      <c r="A95" s="1"/>
      <c r="B95" s="1"/>
      <c r="C95" s="1" t="s">
        <v>248</v>
      </c>
      <c r="D95" s="5">
        <f>SUM(Historicals!H30,Historicals!H53)</f>
        <v>14131</v>
      </c>
      <c r="E95" s="2"/>
      <c r="F95" s="2"/>
      <c r="G95" s="2"/>
      <c r="H95" s="2"/>
      <c r="I95" s="1"/>
      <c r="J95" s="1"/>
      <c r="K95" s="1"/>
      <c r="L95" s="1"/>
    </row>
    <row r="96" spans="1:12" ht="19" customHeight="1">
      <c r="A96" s="1"/>
      <c r="B96" s="1"/>
      <c r="C96" s="1" t="s">
        <v>249</v>
      </c>
      <c r="D96" s="5">
        <f>Historicals!H33</f>
        <v>80598</v>
      </c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 t="s">
        <v>250</v>
      </c>
      <c r="D97" s="5">
        <f>Historicals!H40-Historicals!F40</f>
        <v>5207</v>
      </c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 t="s">
        <v>251</v>
      </c>
      <c r="D98" s="2">
        <f>D94+D95-D96-D97</f>
        <v>-7301.1999999999971</v>
      </c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 t="s">
        <v>252</v>
      </c>
      <c r="D99" s="2">
        <f>D40-D98</f>
        <v>-30232.233319999999</v>
      </c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30" customHeight="1">
      <c r="A101" s="1"/>
      <c r="B101" s="1"/>
      <c r="C101" s="42" t="s">
        <v>253</v>
      </c>
      <c r="D101" s="43"/>
      <c r="E101" s="43"/>
      <c r="F101" s="43"/>
      <c r="G101" s="43"/>
      <c r="H101" s="43"/>
      <c r="I101" s="42"/>
      <c r="J101" s="42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mergeCells count="2">
    <mergeCell ref="C43:J43"/>
    <mergeCell ref="C101:J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9334D"/>
  </sheetPr>
  <dimension ref="A1:L190"/>
  <sheetViews>
    <sheetView showGridLines="0" workbookViewId="0"/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141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19" customHeight="1">
      <c r="A6" s="1"/>
      <c r="B6" s="1"/>
      <c r="C6" s="1" t="s">
        <v>254</v>
      </c>
      <c r="D6" s="5">
        <f>Assumptions!D7*Historicals!H47</f>
        <v>4165415.6999999997</v>
      </c>
      <c r="E6" s="2"/>
      <c r="F6" s="2"/>
      <c r="G6" s="2"/>
      <c r="H6" s="2"/>
      <c r="I6" s="1"/>
      <c r="J6" s="1"/>
      <c r="K6" s="1"/>
      <c r="L6" s="1"/>
    </row>
    <row r="7" spans="1:12" ht="19" customHeight="1">
      <c r="A7" s="1"/>
      <c r="B7" s="1"/>
      <c r="C7" s="1" t="s">
        <v>255</v>
      </c>
      <c r="D7" s="5">
        <f>SUM(Historicals!H45:H46)</f>
        <v>96586</v>
      </c>
      <c r="E7" s="2"/>
      <c r="F7" s="2"/>
      <c r="G7" s="2"/>
      <c r="H7" s="2"/>
      <c r="I7" s="1"/>
      <c r="J7" s="1"/>
      <c r="K7" s="1"/>
      <c r="L7" s="1"/>
    </row>
    <row r="8" spans="1:12" ht="19" customHeight="1">
      <c r="A8" s="1"/>
      <c r="B8" s="1"/>
      <c r="C8" s="1" t="s">
        <v>256</v>
      </c>
      <c r="D8" s="5">
        <f>Historicals!H48*Historicals!H49</f>
        <v>19250</v>
      </c>
      <c r="E8" s="2"/>
      <c r="F8" s="2"/>
      <c r="G8" s="2"/>
      <c r="H8" s="2"/>
      <c r="I8" s="1"/>
      <c r="J8" s="1"/>
      <c r="K8" s="1"/>
      <c r="L8" s="1"/>
    </row>
    <row r="9" spans="1:12" ht="19" customHeight="1">
      <c r="A9" s="1"/>
      <c r="B9" s="1"/>
      <c r="C9" s="1" t="s">
        <v>257</v>
      </c>
      <c r="D9" s="28">
        <f>Assumptions!D9+Assumptions!D10*Assumptions!D11</f>
        <v>9.9000000000000005E-2</v>
      </c>
      <c r="E9" s="2"/>
      <c r="F9" s="2"/>
      <c r="G9" s="2"/>
      <c r="H9" s="2"/>
      <c r="I9" s="1"/>
      <c r="J9" s="1"/>
      <c r="K9" s="1"/>
      <c r="L9" s="1"/>
    </row>
    <row r="10" spans="1:12" ht="19" customHeight="1">
      <c r="A10" s="1"/>
      <c r="B10" s="1"/>
      <c r="C10" s="1" t="s">
        <v>258</v>
      </c>
      <c r="D10" s="28">
        <f>Assumptions!D12*(1-Assumptions!D13)</f>
        <v>3.8400000000000004E-2</v>
      </c>
      <c r="E10" s="2"/>
      <c r="F10" s="2"/>
      <c r="G10" s="2"/>
      <c r="H10" s="2"/>
      <c r="I10" s="1"/>
      <c r="J10" s="1"/>
      <c r="K10" s="1"/>
      <c r="L10" s="1"/>
    </row>
    <row r="11" spans="1:12" ht="19" customHeight="1">
      <c r="A11" s="1"/>
      <c r="B11" s="1"/>
      <c r="C11" s="1" t="s">
        <v>259</v>
      </c>
      <c r="D11" s="28">
        <f>Assumptions!D20</f>
        <v>6.25E-2</v>
      </c>
      <c r="E11" s="2"/>
      <c r="F11" s="2"/>
      <c r="G11" s="2"/>
      <c r="H11" s="2"/>
      <c r="I11" s="1"/>
      <c r="J11" s="1"/>
      <c r="K11" s="1"/>
      <c r="L11" s="1"/>
    </row>
    <row r="12" spans="1:12" ht="19" customHeight="1">
      <c r="A12" s="1"/>
      <c r="B12" s="1"/>
      <c r="C12" s="1" t="s">
        <v>260</v>
      </c>
      <c r="D12" s="23">
        <f>D6/SUM(D6:D8)</f>
        <v>0.97294342680202628</v>
      </c>
      <c r="E12" s="2"/>
      <c r="F12" s="2"/>
      <c r="G12" s="2"/>
      <c r="H12" s="2"/>
      <c r="I12" s="1"/>
      <c r="J12" s="1"/>
      <c r="K12" s="1"/>
      <c r="L12" s="1"/>
    </row>
    <row r="13" spans="1:12" ht="19" customHeight="1">
      <c r="A13" s="1"/>
      <c r="B13" s="1"/>
      <c r="C13" s="1" t="s">
        <v>261</v>
      </c>
      <c r="D13" s="23">
        <f>D7/SUM(D6:D8)</f>
        <v>2.2560224618421762E-2</v>
      </c>
      <c r="E13" s="2"/>
      <c r="F13" s="2"/>
      <c r="G13" s="2"/>
      <c r="H13" s="2"/>
      <c r="I13" s="1"/>
      <c r="J13" s="1"/>
      <c r="K13" s="1"/>
      <c r="L13" s="1"/>
    </row>
    <row r="14" spans="1:12" ht="19" customHeight="1">
      <c r="A14" s="1"/>
      <c r="B14" s="1"/>
      <c r="C14" s="1" t="s">
        <v>262</v>
      </c>
      <c r="D14" s="23">
        <f>D8/SUM(D6:D8)</f>
        <v>4.496348579552098E-3</v>
      </c>
      <c r="E14" s="2"/>
      <c r="F14" s="2"/>
      <c r="G14" s="2"/>
      <c r="H14" s="2"/>
      <c r="I14" s="1"/>
      <c r="J14" s="1"/>
      <c r="K14" s="1"/>
      <c r="L14" s="1"/>
    </row>
    <row r="15" spans="1:12" ht="19" customHeight="1">
      <c r="A15" s="1"/>
      <c r="B15" s="1"/>
      <c r="C15" s="14" t="s">
        <v>263</v>
      </c>
      <c r="D15" s="25">
        <f>SUMPRODUCT(D9:D11,D12:D14)</f>
        <v>9.7468733664970011E-2</v>
      </c>
      <c r="E15" s="16"/>
      <c r="F15" s="16"/>
      <c r="G15" s="16"/>
      <c r="H15" s="16"/>
      <c r="I15" s="1"/>
      <c r="J15" s="1"/>
      <c r="K15" s="1"/>
      <c r="L15" s="1"/>
    </row>
    <row r="16" spans="1:12" ht="19" customHeight="1">
      <c r="A16" s="1"/>
      <c r="B16" s="1"/>
      <c r="C16" s="1"/>
      <c r="D16" s="2"/>
      <c r="E16" s="2"/>
      <c r="F16" s="2"/>
      <c r="G16" s="2"/>
      <c r="H16" s="2"/>
      <c r="I16" s="1"/>
      <c r="J16" s="1"/>
      <c r="K16" s="1"/>
      <c r="L16" s="1"/>
    </row>
    <row r="17" spans="1:12" ht="19" customHeight="1">
      <c r="A17" s="1"/>
      <c r="B17" s="1"/>
      <c r="C17" s="1" t="s">
        <v>264</v>
      </c>
      <c r="D17" s="2" t="s">
        <v>265</v>
      </c>
      <c r="E17" s="2" t="s">
        <v>99</v>
      </c>
      <c r="F17" s="2" t="s">
        <v>100</v>
      </c>
      <c r="G17" s="2" t="s">
        <v>101</v>
      </c>
      <c r="H17" s="2" t="s">
        <v>102</v>
      </c>
      <c r="I17" s="1"/>
      <c r="J17" s="1"/>
      <c r="K17" s="1"/>
      <c r="L17" s="1"/>
    </row>
    <row r="18" spans="1:12" ht="19" customHeight="1">
      <c r="A18" s="1"/>
      <c r="B18" s="1"/>
      <c r="C18" s="1" t="s">
        <v>266</v>
      </c>
      <c r="D18" s="30">
        <v>46388</v>
      </c>
      <c r="E18" s="30">
        <v>46753</v>
      </c>
      <c r="F18" s="30">
        <v>47119</v>
      </c>
      <c r="G18" s="30">
        <v>47484</v>
      </c>
      <c r="H18" s="30">
        <v>47849</v>
      </c>
      <c r="I18" s="1"/>
      <c r="J18" s="1"/>
      <c r="K18" s="1"/>
      <c r="L18" s="1"/>
    </row>
    <row r="19" spans="1:12" ht="19" customHeight="1">
      <c r="A19" s="1"/>
      <c r="B19" s="1"/>
      <c r="C19" s="1" t="s">
        <v>267</v>
      </c>
      <c r="D19" s="31">
        <f>Assumptions!D6</f>
        <v>46312</v>
      </c>
      <c r="E19" s="32">
        <f>DATE(YEAR(E18)-1,1,1)</f>
        <v>46388</v>
      </c>
      <c r="F19" s="32">
        <f>DATE(YEAR(F18)-1,1,1)</f>
        <v>46753</v>
      </c>
      <c r="G19" s="32">
        <f>DATE(YEAR(G18)-1,1,1)</f>
        <v>47119</v>
      </c>
      <c r="H19" s="32">
        <f>DATE(YEAR(H18)-1,1,1)</f>
        <v>47484</v>
      </c>
      <c r="I19" s="1"/>
      <c r="J19" s="1"/>
      <c r="K19" s="1"/>
      <c r="L19" s="1"/>
    </row>
    <row r="20" spans="1:12" ht="19" customHeight="1">
      <c r="A20" s="1"/>
      <c r="B20" s="1"/>
      <c r="C20" s="1" t="s">
        <v>268</v>
      </c>
      <c r="D20" s="33">
        <f>(D18-D19)/365</f>
        <v>0.20821917808219179</v>
      </c>
      <c r="E20" s="33">
        <f>(E18-E19)/365</f>
        <v>1</v>
      </c>
      <c r="F20" s="33">
        <f>(F18-F19)/365</f>
        <v>1.0027397260273974</v>
      </c>
      <c r="G20" s="33">
        <f>(G18-G19)/365</f>
        <v>1</v>
      </c>
      <c r="H20" s="33">
        <f>(H18-H19)/365</f>
        <v>1</v>
      </c>
      <c r="I20" s="1"/>
      <c r="J20" s="1"/>
      <c r="K20" s="1"/>
      <c r="L20" s="1"/>
    </row>
    <row r="21" spans="1:12" ht="19" customHeight="1">
      <c r="A21" s="1"/>
      <c r="B21" s="1"/>
      <c r="C21" s="1" t="s">
        <v>269</v>
      </c>
      <c r="D21" s="34">
        <f>((D18+D19)/2-Assumptions!D6)/365</f>
        <v>0.10410958904109589</v>
      </c>
      <c r="E21" s="34">
        <f>((E18+E19)/2-Assumptions!D6)/365</f>
        <v>0.70821917808219181</v>
      </c>
      <c r="F21" s="34">
        <f>((F18+F19)/2-Assumptions!D6)/365</f>
        <v>1.7095890410958905</v>
      </c>
      <c r="G21" s="34">
        <f>((G18+G19)/2-Assumptions!D6)/365</f>
        <v>2.7109589041095892</v>
      </c>
      <c r="H21" s="34">
        <f>((H18+H19)/2-Assumptions!D6)/365</f>
        <v>3.7109589041095892</v>
      </c>
      <c r="I21" s="1"/>
      <c r="J21" s="1"/>
      <c r="K21" s="1"/>
      <c r="L21" s="1"/>
    </row>
    <row r="22" spans="1:12" ht="19" customHeight="1">
      <c r="A22" s="1"/>
      <c r="B22" s="1"/>
      <c r="C22" s="1" t="s">
        <v>270</v>
      </c>
      <c r="D22" s="5">
        <f>Projections!D40</f>
        <v>-37533.433319999996</v>
      </c>
      <c r="E22" s="5">
        <f>Projections!E40</f>
        <v>-68108.003142400063</v>
      </c>
      <c r="F22" s="5">
        <f>Projections!F40</f>
        <v>12831.94982655994</v>
      </c>
      <c r="G22" s="5">
        <f>Projections!G40</f>
        <v>107438.8822980304</v>
      </c>
      <c r="H22" s="5">
        <f>Projections!H40</f>
        <v>186743.38632113708</v>
      </c>
      <c r="I22" s="1"/>
      <c r="J22" s="1"/>
      <c r="K22" s="1"/>
      <c r="L22" s="1"/>
    </row>
    <row r="23" spans="1:12" ht="19" customHeight="1">
      <c r="A23" s="1"/>
      <c r="B23" s="1"/>
      <c r="C23" s="1" t="s">
        <v>271</v>
      </c>
      <c r="D23" s="5">
        <f>Projections!D99*(D18-D19)/(D18-DATE(2026,7,1))</f>
        <v>-12487.226806086956</v>
      </c>
      <c r="E23" s="2">
        <f>E22</f>
        <v>-68108.003142400063</v>
      </c>
      <c r="F23" s="2">
        <f>F22</f>
        <v>12831.94982655994</v>
      </c>
      <c r="G23" s="2">
        <f>G22</f>
        <v>107438.8822980304</v>
      </c>
      <c r="H23" s="2">
        <f>H22</f>
        <v>186743.38632113708</v>
      </c>
      <c r="I23" s="1"/>
      <c r="J23" s="1"/>
      <c r="K23" s="1"/>
      <c r="L23" s="1"/>
    </row>
    <row r="24" spans="1:12" ht="19" customHeight="1">
      <c r="A24" s="1"/>
      <c r="B24" s="1"/>
      <c r="C24" s="1" t="s">
        <v>272</v>
      </c>
      <c r="D24" s="33">
        <f>1/(1+$D$15)^D21</f>
        <v>0.99036387223103928</v>
      </c>
      <c r="E24" s="33">
        <f>1/(1+$D$15)^E21</f>
        <v>0.9362535992936577</v>
      </c>
      <c r="F24" s="33">
        <f>1/(1+$D$15)^F21</f>
        <v>0.85299407067738919</v>
      </c>
      <c r="G24" s="33">
        <f>1/(1+$D$15)^G21</f>
        <v>0.7771386781954257</v>
      </c>
      <c r="H24" s="33">
        <f>1/(1+$D$15)^H21</f>
        <v>0.70811919679952062</v>
      </c>
      <c r="I24" s="1"/>
      <c r="J24" s="1"/>
      <c r="K24" s="1"/>
      <c r="L24" s="1"/>
    </row>
    <row r="25" spans="1:12" ht="19" customHeight="1">
      <c r="A25" s="1"/>
      <c r="B25" s="1"/>
      <c r="C25" s="14" t="s">
        <v>273</v>
      </c>
      <c r="D25" s="16">
        <f>D23*D24</f>
        <v>-12366.89829310351</v>
      </c>
      <c r="E25" s="16">
        <f>E23*E24</f>
        <v>-63766.36308277581</v>
      </c>
      <c r="F25" s="16">
        <f>F23*F24</f>
        <v>10945.577117285382</v>
      </c>
      <c r="G25" s="16">
        <f>G23*G24</f>
        <v>83494.910975885257</v>
      </c>
      <c r="H25" s="16">
        <f>H23*H24</f>
        <v>132236.57672934618</v>
      </c>
      <c r="I25" s="1"/>
      <c r="J25" s="1"/>
      <c r="K25" s="1"/>
      <c r="L25" s="1"/>
    </row>
    <row r="26" spans="1:12" ht="19" customHeight="1">
      <c r="A26" s="1"/>
      <c r="B26" s="1"/>
      <c r="C26" s="1"/>
      <c r="D26" s="2"/>
      <c r="E26" s="2"/>
      <c r="F26" s="2"/>
      <c r="G26" s="2"/>
      <c r="H26" s="2"/>
      <c r="I26" s="1"/>
      <c r="J26" s="1"/>
      <c r="K26" s="1"/>
      <c r="L26" s="1"/>
    </row>
    <row r="27" spans="1:12" ht="19" customHeight="1">
      <c r="A27" s="1"/>
      <c r="B27" s="1"/>
      <c r="C27" s="1"/>
      <c r="D27" s="2"/>
      <c r="E27" s="2"/>
      <c r="F27" s="2"/>
      <c r="G27" s="2"/>
      <c r="H27" s="2"/>
      <c r="I27" s="1"/>
      <c r="J27" s="1"/>
      <c r="K27" s="1"/>
      <c r="L27" s="1"/>
    </row>
    <row r="28" spans="1:12" ht="19" customHeight="1">
      <c r="A28" s="1"/>
      <c r="B28" s="1"/>
      <c r="C28" s="1"/>
      <c r="D28" s="2"/>
      <c r="E28" s="2"/>
      <c r="F28" s="2"/>
      <c r="G28" s="2"/>
      <c r="H28" s="2"/>
      <c r="I28" s="1"/>
      <c r="J28" s="1"/>
      <c r="K28" s="1"/>
      <c r="L28" s="1"/>
    </row>
    <row r="29" spans="1:12" ht="19" customHeight="1">
      <c r="A29" s="1"/>
      <c r="B29" s="1"/>
      <c r="C29" s="1" t="s">
        <v>274</v>
      </c>
      <c r="D29" s="5">
        <f>Projections!H15*(1+Assumptions!D14)</f>
        <v>906476.11958931317</v>
      </c>
      <c r="E29" s="2"/>
      <c r="F29" s="2"/>
      <c r="G29" s="2"/>
      <c r="H29" s="2"/>
      <c r="I29" s="1"/>
      <c r="J29" s="1"/>
      <c r="K29" s="1"/>
      <c r="L29" s="1"/>
    </row>
    <row r="30" spans="1:12" ht="19" customHeight="1">
      <c r="A30" s="1"/>
      <c r="B30" s="1"/>
      <c r="C30" s="1" t="s">
        <v>275</v>
      </c>
      <c r="D30" s="5">
        <f>Projections!H30*(1+Assumptions!D14)</f>
        <v>256611.95907473247</v>
      </c>
      <c r="E30" s="2"/>
      <c r="F30" s="2"/>
      <c r="G30" s="2"/>
      <c r="H30" s="2"/>
      <c r="I30" s="1"/>
      <c r="J30" s="1"/>
      <c r="K30" s="1"/>
      <c r="L30" s="1"/>
    </row>
    <row r="31" spans="1:12" ht="19" customHeight="1">
      <c r="A31" s="1"/>
      <c r="B31" s="1"/>
      <c r="C31" s="1" t="s">
        <v>276</v>
      </c>
      <c r="D31" s="5">
        <f>Projections!H32*(1+Assumptions!D14)</f>
        <v>117841.8955466107</v>
      </c>
      <c r="E31" s="2"/>
      <c r="F31" s="2"/>
      <c r="G31" s="2"/>
      <c r="H31" s="2"/>
      <c r="I31" s="1"/>
      <c r="J31" s="1"/>
      <c r="K31" s="1"/>
      <c r="L31" s="1"/>
    </row>
    <row r="32" spans="1:12" ht="19" customHeight="1">
      <c r="A32" s="1"/>
      <c r="B32" s="1"/>
      <c r="C32" s="1" t="s">
        <v>277</v>
      </c>
      <c r="D32" s="5">
        <f>D31*Assumptions!D15</f>
        <v>135518.1798786023</v>
      </c>
      <c r="E32" s="2"/>
      <c r="F32" s="2"/>
      <c r="G32" s="2"/>
      <c r="H32" s="2"/>
      <c r="I32" s="1"/>
      <c r="J32" s="1"/>
      <c r="K32" s="1"/>
      <c r="L32" s="1"/>
    </row>
    <row r="33" spans="1:12" ht="19" customHeight="1">
      <c r="A33" s="1"/>
      <c r="B33" s="1"/>
      <c r="C33" s="1" t="s">
        <v>278</v>
      </c>
      <c r="D33" s="5">
        <f>Projections!H36*Assumptions!D14</f>
        <v>2640.2217075416888</v>
      </c>
      <c r="E33" s="2"/>
      <c r="F33" s="2"/>
      <c r="G33" s="2"/>
      <c r="H33" s="2"/>
      <c r="I33" s="1"/>
      <c r="J33" s="1"/>
      <c r="K33" s="1"/>
      <c r="L33" s="1"/>
    </row>
    <row r="34" spans="1:12" ht="19" customHeight="1">
      <c r="A34" s="1"/>
      <c r="B34" s="1"/>
      <c r="C34" s="14" t="s">
        <v>279</v>
      </c>
      <c r="D34" s="16">
        <f>D30+D31-D32-D33</f>
        <v>236295.4530351992</v>
      </c>
      <c r="E34" s="16"/>
      <c r="F34" s="16"/>
      <c r="G34" s="16"/>
      <c r="H34" s="16"/>
      <c r="I34" s="1"/>
      <c r="J34" s="1"/>
      <c r="K34" s="1"/>
      <c r="L34" s="1"/>
    </row>
    <row r="35" spans="1:12" ht="19" customHeight="1">
      <c r="A35" s="1"/>
      <c r="B35" s="1"/>
      <c r="C35" s="1" t="s">
        <v>280</v>
      </c>
      <c r="D35" s="5">
        <f>D34/(D15-Assumptions!D14)</f>
        <v>3502295.6590318307</v>
      </c>
      <c r="E35" s="2"/>
      <c r="F35" s="2"/>
      <c r="G35" s="2"/>
      <c r="H35" s="2"/>
      <c r="I35" s="1"/>
      <c r="J35" s="1"/>
      <c r="K35" s="1"/>
      <c r="L35" s="1"/>
    </row>
    <row r="36" spans="1:12" ht="19" customHeight="1">
      <c r="A36" s="1"/>
      <c r="B36" s="1"/>
      <c r="C36" s="1" t="s">
        <v>281</v>
      </c>
      <c r="D36" s="34">
        <f>(H18-Assumptions!D6)/365</f>
        <v>4.2109589041095887</v>
      </c>
      <c r="E36" s="2"/>
      <c r="F36" s="2"/>
      <c r="G36" s="2"/>
      <c r="H36" s="2"/>
      <c r="I36" s="1"/>
      <c r="J36" s="1"/>
      <c r="K36" s="1"/>
      <c r="L36" s="1"/>
    </row>
    <row r="37" spans="1:12" ht="19" customHeight="1">
      <c r="A37" s="1"/>
      <c r="B37" s="1"/>
      <c r="C37" s="1" t="s">
        <v>282</v>
      </c>
      <c r="D37" s="2">
        <f>D35/(1+D15)^D36</f>
        <v>2367353.4069347549</v>
      </c>
      <c r="E37" s="2"/>
      <c r="F37" s="2"/>
      <c r="G37" s="2"/>
      <c r="H37" s="2"/>
      <c r="I37" s="1"/>
      <c r="J37" s="1"/>
      <c r="K37" s="1"/>
      <c r="L37" s="1"/>
    </row>
    <row r="38" spans="1:12" ht="19" customHeight="1">
      <c r="A38" s="1"/>
      <c r="B38" s="1"/>
      <c r="C38" s="1" t="s">
        <v>283</v>
      </c>
      <c r="D38" s="2">
        <f>SUM(D25:H25)</f>
        <v>150543.80344663752</v>
      </c>
      <c r="E38" s="2"/>
      <c r="F38" s="2"/>
      <c r="G38" s="2"/>
      <c r="H38" s="2"/>
      <c r="I38" s="1"/>
      <c r="J38" s="1"/>
      <c r="K38" s="1"/>
      <c r="L38" s="1"/>
    </row>
    <row r="39" spans="1:12" ht="19" customHeight="1">
      <c r="A39" s="1"/>
      <c r="B39" s="1"/>
      <c r="C39" s="14" t="s">
        <v>284</v>
      </c>
      <c r="D39" s="16">
        <f>SUM(D37:D38)</f>
        <v>2517897.2103813924</v>
      </c>
      <c r="E39" s="16"/>
      <c r="F39" s="16"/>
      <c r="G39" s="16"/>
      <c r="H39" s="16"/>
      <c r="I39" s="1"/>
      <c r="J39" s="1"/>
      <c r="K39" s="1"/>
      <c r="L39" s="1"/>
    </row>
    <row r="40" spans="1:12" ht="19" customHeight="1">
      <c r="A40" s="1"/>
      <c r="B40" s="1"/>
      <c r="C40" s="1" t="s">
        <v>285</v>
      </c>
      <c r="D40" s="23">
        <f>D37/D39</f>
        <v>0.94021050469179634</v>
      </c>
      <c r="E40" s="2"/>
      <c r="F40" s="2"/>
      <c r="G40" s="2"/>
      <c r="H40" s="2"/>
      <c r="I40" s="1"/>
      <c r="J40" s="1"/>
      <c r="K40" s="1"/>
      <c r="L40" s="1"/>
    </row>
    <row r="41" spans="1:12" ht="19" customHeight="1">
      <c r="A41" s="1"/>
      <c r="B41" s="1"/>
      <c r="C41" s="1"/>
      <c r="D41" s="2"/>
      <c r="E41" s="2"/>
      <c r="F41" s="2"/>
      <c r="G41" s="2"/>
      <c r="H41" s="2"/>
      <c r="I41" s="1"/>
      <c r="J41" s="1"/>
      <c r="K41" s="1"/>
      <c r="L41" s="1"/>
    </row>
    <row r="42" spans="1:12" ht="19" customHeight="1">
      <c r="A42" s="1"/>
      <c r="B42" s="1"/>
      <c r="C42" s="1" t="s">
        <v>286</v>
      </c>
      <c r="D42" s="5">
        <f>Historicals!H42</f>
        <v>242474</v>
      </c>
      <c r="E42" s="2"/>
      <c r="F42" s="2"/>
      <c r="G42" s="2"/>
      <c r="H42" s="2"/>
      <c r="I42" s="1"/>
      <c r="J42" s="1"/>
      <c r="K42" s="1"/>
      <c r="L42" s="1"/>
    </row>
    <row r="43" spans="1:12" ht="19" customHeight="1">
      <c r="A43" s="1"/>
      <c r="B43" s="1"/>
      <c r="C43" s="1" t="s">
        <v>287</v>
      </c>
      <c r="D43" s="5">
        <f>-SUM(Historicals!H43:H44)</f>
        <v>-100164</v>
      </c>
      <c r="E43" s="2"/>
      <c r="F43" s="2"/>
      <c r="G43" s="2"/>
      <c r="H43" s="2"/>
      <c r="I43" s="1"/>
      <c r="J43" s="1"/>
      <c r="K43" s="1"/>
      <c r="L43" s="1"/>
    </row>
    <row r="44" spans="1:12" ht="19" customHeight="1">
      <c r="A44" s="1"/>
      <c r="B44" s="1"/>
      <c r="C44" s="1" t="s">
        <v>288</v>
      </c>
      <c r="D44" s="2">
        <f>-D8</f>
        <v>-19250</v>
      </c>
      <c r="E44" s="2"/>
      <c r="F44" s="2"/>
      <c r="G44" s="2"/>
      <c r="H44" s="2"/>
      <c r="I44" s="1"/>
      <c r="J44" s="1"/>
      <c r="K44" s="1"/>
      <c r="L44" s="1"/>
    </row>
    <row r="45" spans="1:12" ht="19" customHeight="1">
      <c r="A45" s="1"/>
      <c r="B45" s="1"/>
      <c r="C45" s="1" t="s">
        <v>289</v>
      </c>
      <c r="D45" s="5">
        <f>Historicals!H50*Assumptions!D16</f>
        <v>0</v>
      </c>
      <c r="E45" s="2"/>
      <c r="F45" s="2"/>
      <c r="G45" s="2"/>
      <c r="H45" s="2"/>
      <c r="I45" s="1"/>
      <c r="J45" s="1"/>
      <c r="K45" s="1"/>
      <c r="L45" s="1"/>
    </row>
    <row r="46" spans="1:12" ht="19" customHeight="1">
      <c r="A46" s="1"/>
      <c r="B46" s="1"/>
      <c r="C46" s="1" t="s">
        <v>290</v>
      </c>
      <c r="D46" s="5">
        <f>-Historicals!H51</f>
        <v>-22819</v>
      </c>
      <c r="E46" s="2"/>
      <c r="F46" s="2"/>
      <c r="G46" s="2"/>
      <c r="H46" s="2"/>
      <c r="I46" s="1"/>
      <c r="J46" s="1"/>
      <c r="K46" s="1"/>
      <c r="L46" s="1"/>
    </row>
    <row r="47" spans="1:12" ht="19" customHeight="1">
      <c r="A47" s="1"/>
      <c r="B47" s="1"/>
      <c r="C47" s="1" t="s">
        <v>291</v>
      </c>
      <c r="D47" s="5">
        <f>-Historicals!H52</f>
        <v>-17400</v>
      </c>
      <c r="E47" s="2"/>
      <c r="F47" s="2"/>
      <c r="G47" s="2"/>
      <c r="H47" s="2"/>
      <c r="I47" s="1"/>
      <c r="J47" s="1"/>
      <c r="K47" s="1"/>
      <c r="L47" s="1"/>
    </row>
    <row r="48" spans="1:12" ht="19" customHeight="1">
      <c r="A48" s="1"/>
      <c r="B48" s="1"/>
      <c r="C48" s="14" t="s">
        <v>292</v>
      </c>
      <c r="D48" s="16">
        <f>SUM(D42:D47)</f>
        <v>82841</v>
      </c>
      <c r="E48" s="16"/>
      <c r="F48" s="16"/>
      <c r="G48" s="16"/>
      <c r="H48" s="16"/>
      <c r="I48" s="1"/>
      <c r="J48" s="1"/>
      <c r="K48" s="1"/>
      <c r="L48" s="1"/>
    </row>
    <row r="49" spans="1:12" ht="19" customHeight="1">
      <c r="A49" s="1"/>
      <c r="B49" s="1"/>
      <c r="C49" s="14" t="s">
        <v>293</v>
      </c>
      <c r="D49" s="16">
        <f>D39+D48</f>
        <v>2600738.2103813924</v>
      </c>
      <c r="E49" s="16"/>
      <c r="F49" s="16"/>
      <c r="G49" s="16"/>
      <c r="H49" s="16"/>
      <c r="I49" s="1"/>
      <c r="J49" s="1"/>
      <c r="K49" s="1"/>
      <c r="L49" s="1"/>
    </row>
    <row r="50" spans="1:12" ht="19" customHeight="1">
      <c r="A50" s="1"/>
      <c r="B50" s="1"/>
      <c r="C50" s="1" t="s">
        <v>294</v>
      </c>
      <c r="D50" s="5">
        <f>Historicals!H47</f>
        <v>12230</v>
      </c>
      <c r="E50" s="2"/>
      <c r="F50" s="2"/>
      <c r="G50" s="2"/>
      <c r="H50" s="2"/>
      <c r="I50" s="1"/>
      <c r="J50" s="1"/>
      <c r="K50" s="1"/>
      <c r="L50" s="1"/>
    </row>
    <row r="51" spans="1:12" ht="19" customHeight="1">
      <c r="A51" s="1"/>
      <c r="B51" s="1"/>
      <c r="C51" s="14" t="s">
        <v>136</v>
      </c>
      <c r="D51" s="35">
        <f>D49/D50</f>
        <v>212.65234753731744</v>
      </c>
      <c r="E51" s="16"/>
      <c r="F51" s="16"/>
      <c r="G51" s="16"/>
      <c r="H51" s="16"/>
      <c r="I51" s="1"/>
      <c r="J51" s="1"/>
      <c r="K51" s="1"/>
      <c r="L51" s="1"/>
    </row>
    <row r="52" spans="1:12" ht="19" customHeight="1">
      <c r="A52" s="1"/>
      <c r="B52" s="1"/>
      <c r="C52" s="1" t="s">
        <v>295</v>
      </c>
      <c r="D52" s="28">
        <f>D51/Assumptions!D7-1</f>
        <v>-0.37563537526845336</v>
      </c>
      <c r="E52" s="2"/>
      <c r="F52" s="2"/>
      <c r="G52" s="2"/>
      <c r="H52" s="2"/>
      <c r="I52" s="1"/>
      <c r="J52" s="1"/>
      <c r="K52" s="1"/>
      <c r="L52" s="1"/>
    </row>
    <row r="53" spans="1:12" ht="19" customHeight="1">
      <c r="A53" s="1"/>
      <c r="B53" s="1"/>
      <c r="C53" s="1"/>
      <c r="D53" s="2"/>
      <c r="E53" s="2"/>
      <c r="F53" s="2"/>
      <c r="G53" s="2"/>
      <c r="H53" s="2"/>
      <c r="I53" s="1"/>
      <c r="J53" s="1"/>
      <c r="K53" s="1"/>
      <c r="L53" s="1"/>
    </row>
    <row r="54" spans="1:12" ht="19" customHeight="1">
      <c r="A54" s="1"/>
      <c r="B54" s="1"/>
      <c r="C54" s="1"/>
      <c r="D54" s="2"/>
      <c r="E54" s="2"/>
      <c r="F54" s="2"/>
      <c r="G54" s="2"/>
      <c r="H54" s="2"/>
      <c r="I54" s="1"/>
      <c r="J54" s="1"/>
      <c r="K54" s="1"/>
      <c r="L54" s="1"/>
    </row>
    <row r="55" spans="1:12" ht="30" customHeight="1">
      <c r="A55" s="1"/>
      <c r="B55" s="1"/>
      <c r="C55" s="42" t="s">
        <v>296</v>
      </c>
      <c r="D55" s="43"/>
      <c r="E55" s="43"/>
      <c r="F55" s="43"/>
      <c r="G55" s="43"/>
      <c r="H55" s="43"/>
      <c r="I55" s="42"/>
      <c r="J55" s="42"/>
      <c r="K55" s="1"/>
      <c r="L55" s="1"/>
    </row>
    <row r="56" spans="1:12" ht="19" customHeight="1">
      <c r="A56" s="1"/>
      <c r="B56" s="1"/>
      <c r="C56" s="1"/>
      <c r="D56" s="2"/>
      <c r="E56" s="2"/>
      <c r="F56" s="2"/>
      <c r="G56" s="2"/>
      <c r="H56" s="2"/>
      <c r="I56" s="1"/>
      <c r="J56" s="1"/>
      <c r="K56" s="1"/>
      <c r="L56" s="1"/>
    </row>
    <row r="57" spans="1:12" ht="19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</row>
    <row r="59" spans="1:12" ht="19" customHeight="1">
      <c r="A59" s="1"/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</row>
    <row r="60" spans="1:12" ht="19" customHeight="1">
      <c r="A60" s="1"/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</row>
    <row r="61" spans="1:12" ht="19" customHeight="1">
      <c r="A61" s="1"/>
      <c r="B61" s="1"/>
      <c r="C61" s="1"/>
      <c r="D61" s="2"/>
      <c r="E61" s="2"/>
      <c r="F61" s="2"/>
      <c r="G61" s="2"/>
      <c r="H61" s="2"/>
      <c r="I61" s="1"/>
      <c r="J61" s="1"/>
      <c r="K61" s="1"/>
      <c r="L61" s="1"/>
    </row>
    <row r="62" spans="1:12" ht="19" customHeight="1">
      <c r="A62" s="1"/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</row>
    <row r="63" spans="1:12" ht="19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</row>
    <row r="64" spans="1:12" ht="19" customHeight="1">
      <c r="A64" s="1"/>
      <c r="B64" s="1"/>
      <c r="C64" s="1"/>
      <c r="D64" s="2"/>
      <c r="E64" s="2"/>
      <c r="F64" s="2"/>
      <c r="G64" s="2"/>
      <c r="H64" s="2"/>
      <c r="I64" s="1"/>
      <c r="J64" s="1"/>
      <c r="K64" s="1"/>
      <c r="L64" s="1"/>
    </row>
    <row r="65" spans="1:12" ht="19" customHeight="1">
      <c r="A65" s="1"/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</row>
    <row r="66" spans="1:12" ht="19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</row>
    <row r="67" spans="1:12" ht="19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</row>
    <row r="68" spans="1:12" ht="19" customHeight="1">
      <c r="A68" s="1"/>
      <c r="B68" s="1"/>
      <c r="C68" s="1"/>
      <c r="D68" s="2"/>
      <c r="E68" s="2"/>
      <c r="F68" s="2"/>
      <c r="G68" s="2"/>
      <c r="H68" s="2"/>
      <c r="I68" s="1"/>
      <c r="J68" s="1"/>
      <c r="K68" s="1"/>
      <c r="L68" s="1"/>
    </row>
    <row r="69" spans="1:12" ht="19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</row>
    <row r="70" spans="1:12" ht="19" customHeight="1">
      <c r="A70" s="1"/>
      <c r="B70" s="1"/>
      <c r="C70" s="1"/>
      <c r="D70" s="2"/>
      <c r="E70" s="2"/>
      <c r="F70" s="2"/>
      <c r="G70" s="2"/>
      <c r="H70" s="2"/>
      <c r="I70" s="1"/>
      <c r="J70" s="1"/>
      <c r="K70" s="1"/>
      <c r="L70" s="1"/>
    </row>
    <row r="71" spans="1:12" ht="19" customHeight="1">
      <c r="A71" s="1"/>
      <c r="B71" s="1"/>
      <c r="C71" s="1"/>
      <c r="D71" s="2"/>
      <c r="E71" s="2"/>
      <c r="F71" s="2"/>
      <c r="G71" s="2"/>
      <c r="H71" s="2"/>
      <c r="I71" s="1"/>
      <c r="J71" s="1"/>
      <c r="K71" s="1"/>
      <c r="L71" s="1"/>
    </row>
    <row r="72" spans="1:12" ht="19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</row>
    <row r="73" spans="1:12" ht="19" customHeight="1">
      <c r="A73" s="1"/>
      <c r="B73" s="1"/>
      <c r="C73" s="1"/>
      <c r="D73" s="2"/>
      <c r="E73" s="2"/>
      <c r="F73" s="2"/>
      <c r="G73" s="2"/>
      <c r="H73" s="2"/>
      <c r="I73" s="1"/>
      <c r="J73" s="1"/>
      <c r="K73" s="1"/>
      <c r="L73" s="1"/>
    </row>
    <row r="74" spans="1:12" ht="19" customHeight="1">
      <c r="A74" s="1"/>
      <c r="B74" s="1"/>
      <c r="C74" s="1"/>
      <c r="D74" s="2"/>
      <c r="E74" s="2"/>
      <c r="F74" s="2"/>
      <c r="G74" s="2"/>
      <c r="H74" s="2"/>
      <c r="I74" s="1"/>
      <c r="J74" s="1"/>
      <c r="K74" s="1"/>
      <c r="L74" s="1"/>
    </row>
    <row r="75" spans="1:12" ht="19" customHeight="1">
      <c r="A75" s="1"/>
      <c r="B75" s="1"/>
      <c r="C75" s="1"/>
      <c r="D75" s="2"/>
      <c r="E75" s="2"/>
      <c r="F75" s="2"/>
      <c r="G75" s="2"/>
      <c r="H75" s="2"/>
      <c r="I75" s="1"/>
      <c r="J75" s="1"/>
      <c r="K75" s="1"/>
      <c r="L75" s="1"/>
    </row>
    <row r="76" spans="1:12" ht="19" customHeight="1">
      <c r="A76" s="1"/>
      <c r="B76" s="1"/>
      <c r="C76" s="1"/>
      <c r="D76" s="2"/>
      <c r="E76" s="2"/>
      <c r="F76" s="2"/>
      <c r="G76" s="2"/>
      <c r="H76" s="2"/>
      <c r="I76" s="1"/>
      <c r="J76" s="1"/>
      <c r="K76" s="1"/>
      <c r="L76" s="1"/>
    </row>
    <row r="77" spans="1:12" ht="19" customHeight="1">
      <c r="A77" s="1"/>
      <c r="B77" s="1"/>
      <c r="C77" s="1"/>
      <c r="D77" s="2"/>
      <c r="E77" s="2"/>
      <c r="F77" s="2"/>
      <c r="G77" s="2"/>
      <c r="H77" s="2"/>
      <c r="I77" s="1"/>
      <c r="J77" s="1"/>
      <c r="K77" s="1"/>
      <c r="L77" s="1"/>
    </row>
    <row r="78" spans="1:12" ht="19" customHeight="1">
      <c r="A78" s="1"/>
      <c r="B78" s="1"/>
      <c r="C78" s="1"/>
      <c r="D78" s="2"/>
      <c r="E78" s="2"/>
      <c r="F78" s="2"/>
      <c r="G78" s="2"/>
      <c r="H78" s="2"/>
      <c r="I78" s="1"/>
      <c r="J78" s="1"/>
      <c r="K78" s="1"/>
      <c r="L78" s="1"/>
    </row>
    <row r="79" spans="1:12" ht="19" customHeight="1">
      <c r="A79" s="1"/>
      <c r="B79" s="1"/>
      <c r="C79" s="1"/>
      <c r="D79" s="2"/>
      <c r="E79" s="2"/>
      <c r="F79" s="2"/>
      <c r="G79" s="2"/>
      <c r="H79" s="2"/>
      <c r="I79" s="1"/>
      <c r="J79" s="1"/>
      <c r="K79" s="1"/>
      <c r="L79" s="1"/>
    </row>
    <row r="80" spans="1:12" ht="19" customHeight="1">
      <c r="A80" s="1"/>
      <c r="B80" s="1"/>
      <c r="C80" s="1"/>
      <c r="D80" s="2"/>
      <c r="E80" s="2"/>
      <c r="F80" s="2"/>
      <c r="G80" s="2"/>
      <c r="H80" s="2"/>
      <c r="I80" s="1"/>
      <c r="J80" s="1"/>
      <c r="K80" s="1"/>
      <c r="L80" s="1"/>
    </row>
    <row r="81" spans="1:12" ht="19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</row>
    <row r="82" spans="1:12" ht="19" customHeight="1">
      <c r="A82" s="1"/>
      <c r="B82" s="1"/>
      <c r="C82" s="1"/>
      <c r="D82" s="2"/>
      <c r="E82" s="2"/>
      <c r="F82" s="2"/>
      <c r="G82" s="2"/>
      <c r="H82" s="2"/>
      <c r="I82" s="1"/>
      <c r="J82" s="1"/>
      <c r="K82" s="1"/>
      <c r="L82" s="1"/>
    </row>
    <row r="83" spans="1:12" ht="19" customHeight="1">
      <c r="A83" s="1"/>
      <c r="B83" s="1"/>
      <c r="C83" s="1"/>
      <c r="D83" s="2"/>
      <c r="E83" s="2"/>
      <c r="F83" s="2"/>
      <c r="G83" s="2"/>
      <c r="H83" s="2"/>
      <c r="I83" s="1"/>
      <c r="J83" s="1"/>
      <c r="K83" s="1"/>
      <c r="L83" s="1"/>
    </row>
    <row r="84" spans="1:12" ht="19" customHeight="1">
      <c r="A84" s="1"/>
      <c r="B84" s="1"/>
      <c r="C84" s="1"/>
      <c r="D84" s="2"/>
      <c r="E84" s="2"/>
      <c r="F84" s="2"/>
      <c r="G84" s="2"/>
      <c r="H84" s="2"/>
      <c r="I84" s="1"/>
      <c r="J84" s="1"/>
      <c r="K84" s="1"/>
      <c r="L84" s="1"/>
    </row>
    <row r="85" spans="1:12" ht="19" customHeight="1">
      <c r="A85" s="1"/>
      <c r="B85" s="1"/>
      <c r="C85" s="1"/>
      <c r="D85" s="2"/>
      <c r="E85" s="2"/>
      <c r="F85" s="2"/>
      <c r="G85" s="2"/>
      <c r="H85" s="2"/>
      <c r="I85" s="1"/>
      <c r="J85" s="1"/>
      <c r="K85" s="1"/>
      <c r="L85" s="1"/>
    </row>
    <row r="86" spans="1:12" ht="19" customHeight="1">
      <c r="A86" s="1"/>
      <c r="B86" s="1"/>
      <c r="C86" s="1"/>
      <c r="D86" s="2"/>
      <c r="E86" s="2"/>
      <c r="F86" s="2"/>
      <c r="G86" s="2"/>
      <c r="H86" s="2"/>
      <c r="I86" s="1"/>
      <c r="J86" s="1"/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1"/>
      <c r="D88" s="2"/>
      <c r="E88" s="2"/>
      <c r="F88" s="2"/>
      <c r="G88" s="2"/>
      <c r="H88" s="2"/>
      <c r="I88" s="1"/>
      <c r="J88" s="1"/>
      <c r="K88" s="1"/>
      <c r="L88" s="1"/>
    </row>
    <row r="89" spans="1:12" ht="19" customHeight="1">
      <c r="A89" s="1"/>
      <c r="B89" s="1"/>
      <c r="C89" s="1"/>
      <c r="D89" s="2"/>
      <c r="E89" s="2"/>
      <c r="F89" s="2"/>
      <c r="G89" s="2"/>
      <c r="H89" s="2"/>
      <c r="I89" s="1"/>
      <c r="J89" s="1"/>
      <c r="K89" s="1"/>
      <c r="L89" s="1"/>
    </row>
    <row r="90" spans="1:12" ht="19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</row>
    <row r="91" spans="1:12" ht="19" customHeight="1">
      <c r="A91" s="1"/>
      <c r="B91" s="1"/>
      <c r="C91" s="1"/>
      <c r="D91" s="2"/>
      <c r="E91" s="2"/>
      <c r="F91" s="2"/>
      <c r="G91" s="2"/>
      <c r="H91" s="2"/>
      <c r="I91" s="1"/>
      <c r="J91" s="1"/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19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</row>
    <row r="94" spans="1:12" ht="19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</row>
    <row r="95" spans="1:12" ht="19" customHeight="1">
      <c r="A95" s="1"/>
      <c r="B95" s="1"/>
      <c r="C95" s="1"/>
      <c r="D95" s="2"/>
      <c r="E95" s="2"/>
      <c r="F95" s="2"/>
      <c r="G95" s="2"/>
      <c r="H95" s="2"/>
      <c r="I95" s="1"/>
      <c r="J95" s="1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19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mergeCells count="1">
    <mergeCell ref="C55:J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EBBC8"/>
  </sheetPr>
  <dimension ref="A1:L190"/>
  <sheetViews>
    <sheetView showGridLines="0" workbookViewId="0"/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297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30" customHeight="1">
      <c r="A6" s="1"/>
      <c r="B6" s="1"/>
      <c r="C6" s="42" t="s">
        <v>298</v>
      </c>
      <c r="D6" s="43"/>
      <c r="E6" s="43"/>
      <c r="F6" s="43"/>
      <c r="G6" s="43"/>
      <c r="H6" s="43"/>
      <c r="I6" s="42"/>
      <c r="J6" s="42"/>
      <c r="K6" s="1"/>
      <c r="L6" s="1"/>
    </row>
    <row r="7" spans="1:12" ht="19" customHeight="1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spans="1:12" ht="19" customHeight="1">
      <c r="A8" s="1"/>
      <c r="B8" s="1"/>
      <c r="C8" s="1"/>
      <c r="D8" s="2"/>
      <c r="E8" s="2"/>
      <c r="F8" s="2"/>
      <c r="G8" s="2"/>
      <c r="H8" s="2"/>
      <c r="I8" s="1"/>
      <c r="J8" s="1"/>
      <c r="K8" s="1"/>
      <c r="L8" s="1"/>
    </row>
    <row r="9" spans="1:12" ht="19" customHeight="1">
      <c r="A9" s="1"/>
      <c r="B9" s="1"/>
      <c r="C9" s="1" t="s">
        <v>299</v>
      </c>
      <c r="D9" s="28">
        <f>Assumptions!D14+(0-2)*Assumptions!D22</f>
        <v>1.9999999999999997E-2</v>
      </c>
      <c r="E9" s="28">
        <f>Assumptions!D14+(1-2)*Assumptions!D22</f>
        <v>2.4999999999999998E-2</v>
      </c>
      <c r="F9" s="28">
        <f>Assumptions!D14+(2-2)*Assumptions!D22</f>
        <v>0.03</v>
      </c>
      <c r="G9" s="28">
        <f>Assumptions!D14+(3-2)*Assumptions!D22</f>
        <v>3.4999999999999996E-2</v>
      </c>
      <c r="H9" s="28">
        <f>Assumptions!D14+(4-2)*Assumptions!D22</f>
        <v>0.04</v>
      </c>
      <c r="I9" s="1"/>
      <c r="J9" s="1"/>
      <c r="K9" s="1"/>
      <c r="L9" s="1"/>
    </row>
    <row r="10" spans="1:12" ht="19" customHeight="1">
      <c r="A10" s="1"/>
      <c r="B10" s="1"/>
      <c r="C10" s="28">
        <f>DCF!D15+(0-3)*Assumptions!D21</f>
        <v>8.2468733664970012E-2</v>
      </c>
      <c r="D10" s="36">
        <f>(SUMPRODUCT(DCF!$D$23:$H$23,1/(1+$C10)^DCF!$D$21:$H$21)+((Projections!$H$30+Projections!$H$32*(1-Assumptions!$D$15))*(1+D$9)-Projections!$H$36*D$9)/($C10-D$9)/(1+$C10)^DCF!$D$36+DCF!$D$48)/DCF!$D$50</f>
        <v>240.06417659870931</v>
      </c>
      <c r="E10" s="36">
        <f>(SUMPRODUCT(DCF!$D$23:$H$23,1/(1+$C10)^DCF!$D$21:$H$21)+((Projections!$H$30+Projections!$H$32*(1-Assumptions!$D$15))*(1+E$9)-Projections!$H$36*E$9)/($C10-E$9)/(1+$C10)^DCF!$D$36+DCF!$D$48)/DCF!$D$50</f>
        <v>259.95483242233149</v>
      </c>
      <c r="F10" s="36">
        <f>(SUMPRODUCT(DCF!$D$23:$H$23,1/(1+$C10)^DCF!$D$21:$H$21)+((Projections!$H$30+Projections!$H$32*(1-Assumptions!$D$15))*(1+F$9)-Projections!$H$36*F$9)/($C10-F$9)/(1+$C10)^DCF!$D$36+DCF!$D$48)/DCF!$D$50</f>
        <v>283.63644229310694</v>
      </c>
      <c r="G10" s="36">
        <f>(SUMPRODUCT(DCF!$D$23:$H$23,1/(1+$C10)^DCF!$D$21:$H$21)+((Projections!$H$30+Projections!$H$32*(1-Assumptions!$D$15))*(1+G$9)-Projections!$H$36*G$9)/($C10-G$9)/(1+$C10)^DCF!$D$36+DCF!$D$48)/DCF!$D$50</f>
        <v>312.30693811940796</v>
      </c>
      <c r="H10" s="36">
        <f>(SUMPRODUCT(DCF!$D$23:$H$23,1/(1+$C10)^DCF!$D$21:$H$21)+((Projections!$H$30+Projections!$H$32*(1-Assumptions!$D$15))*(1+H$9)-Projections!$H$36*H$9)/($C10-H$9)/(1+$C10)^DCF!$D$36+DCF!$D$48)/DCF!$D$50</f>
        <v>347.7283995036837</v>
      </c>
      <c r="I10" s="1"/>
      <c r="J10" s="1"/>
      <c r="K10" s="1"/>
      <c r="L10" s="1"/>
    </row>
    <row r="11" spans="1:12" ht="19" customHeight="1">
      <c r="A11" s="1"/>
      <c r="B11" s="1"/>
      <c r="C11" s="28">
        <f>DCF!D15+(1-3)*Assumptions!D21</f>
        <v>8.7468733664970016E-2</v>
      </c>
      <c r="D11" s="36">
        <f>(SUMPRODUCT(DCF!$D$23:$H$23,1/(1+$C11)^DCF!$D$21:$H$21)+((Projections!$H$30+Projections!$H$32*(1-Assumptions!$D$15))*(1+D$9)-Projections!$H$36*D$9)/($C11-D$9)/(1+$C11)^DCF!$D$36+DCF!$D$48)/DCF!$D$50</f>
        <v>219.55791707558728</v>
      </c>
      <c r="E11" s="36">
        <f>(SUMPRODUCT(DCF!$D$23:$H$23,1/(1+$C11)^DCF!$D$21:$H$21)+((Projections!$H$30+Projections!$H$32*(1-Assumptions!$D$15))*(1+E$9)-Projections!$H$36*E$9)/($C11-E$9)/(1+$C11)^DCF!$D$36+DCF!$D$48)/DCF!$D$50</f>
        <v>236.22388083245849</v>
      </c>
      <c r="F11" s="36">
        <f>(SUMPRODUCT(DCF!$D$23:$H$23,1/(1+$C11)^DCF!$D$21:$H$21)+((Projections!$H$30+Projections!$H$32*(1-Assumptions!$D$15))*(1+F$9)-Projections!$H$36*F$9)/($C11-F$9)/(1+$C11)^DCF!$D$36+DCF!$D$48)/DCF!$D$50</f>
        <v>255.78984998252847</v>
      </c>
      <c r="G11" s="36">
        <f>(SUMPRODUCT(DCF!$D$23:$H$23,1/(1+$C11)^DCF!$D$21:$H$21)+((Projections!$H$30+Projections!$H$32*(1-Assumptions!$D$15))*(1+G$9)-Projections!$H$36*G$9)/($C11-G$9)/(1+$C11)^DCF!$D$36+DCF!$D$48)/DCF!$D$50</f>
        <v>279.08489124533611</v>
      </c>
      <c r="H11" s="36">
        <f>(SUMPRODUCT(DCF!$D$23:$H$23,1/(1+$C11)^DCF!$D$21:$H$21)+((Projections!$H$30+Projections!$H$32*(1-Assumptions!$D$15))*(1+H$9)-Projections!$H$36*H$9)/($C11-H$9)/(1+$C11)^DCF!$D$36+DCF!$D$48)/DCF!$D$50</f>
        <v>307.28738199420377</v>
      </c>
      <c r="I11" s="1"/>
      <c r="J11" s="1"/>
      <c r="K11" s="1"/>
      <c r="L11" s="1"/>
    </row>
    <row r="12" spans="1:12" ht="19" customHeight="1">
      <c r="A12" s="1"/>
      <c r="B12" s="1"/>
      <c r="C12" s="28">
        <f>DCF!D15+(2-3)*Assumptions!D21</f>
        <v>9.2468733664970007E-2</v>
      </c>
      <c r="D12" s="36">
        <f>(SUMPRODUCT(DCF!$D$23:$H$23,1/(1+$C12)^DCF!$D$21:$H$21)+((Projections!$H$30+Projections!$H$32*(1-Assumptions!$D$15))*(1+D$9)-Projections!$H$36*D$9)/($C12-D$9)/(1+$C12)^DCF!$D$36+DCF!$D$48)/DCF!$D$50</f>
        <v>201.93593936961719</v>
      </c>
      <c r="E12" s="36">
        <f>(SUMPRODUCT(DCF!$D$23:$H$23,1/(1+$C12)^DCF!$D$21:$H$21)+((Projections!$H$30+Projections!$H$32*(1-Assumptions!$D$15))*(1+E$9)-Projections!$H$36*E$9)/($C12-E$9)/(1+$C12)^DCF!$D$36+DCF!$D$48)/DCF!$D$50</f>
        <v>216.06878526818957</v>
      </c>
      <c r="F12" s="36">
        <f>(SUMPRODUCT(DCF!$D$23:$H$23,1/(1+$C12)^DCF!$D$21:$H$21)+((Projections!$H$30+Projections!$H$32*(1-Assumptions!$D$15))*(1+F$9)-Projections!$H$36*F$9)/($C12-F$9)/(1+$C12)^DCF!$D$36+DCF!$D$48)/DCF!$D$50</f>
        <v>232.46401829539656</v>
      </c>
      <c r="G12" s="36">
        <f>(SUMPRODUCT(DCF!$D$23:$H$23,1/(1+$C12)^DCF!$D$21:$H$21)+((Projections!$H$30+Projections!$H$32*(1-Assumptions!$D$15))*(1+G$9)-Projections!$H$36*G$9)/($C12-G$9)/(1+$C12)^DCF!$D$36+DCF!$D$48)/DCF!$D$50</f>
        <v>251.71214749442234</v>
      </c>
      <c r="H12" s="36">
        <f>(SUMPRODUCT(DCF!$D$23:$H$23,1/(1+$C12)^DCF!$D$21:$H$21)+((Projections!$H$30+Projections!$H$32*(1-Assumptions!$D$15))*(1+H$9)-Projections!$H$36*H$9)/($C12-H$9)/(1+$C12)^DCF!$D$36+DCF!$D$48)/DCF!$D$50</f>
        <v>274.62877178653196</v>
      </c>
      <c r="I12" s="1"/>
      <c r="J12" s="1"/>
      <c r="K12" s="1"/>
      <c r="L12" s="1"/>
    </row>
    <row r="13" spans="1:12" ht="19" customHeight="1">
      <c r="A13" s="1"/>
      <c r="B13" s="1"/>
      <c r="C13" s="28">
        <f>DCF!D15+(3-3)*Assumptions!D21</f>
        <v>9.7468733664970011E-2</v>
      </c>
      <c r="D13" s="36">
        <f>(SUMPRODUCT(DCF!$D$23:$H$23,1/(1+$C13)^DCF!$D$21:$H$21)+((Projections!$H$30+Projections!$H$32*(1-Assumptions!$D$15))*(1+D$9)-Projections!$H$36*D$9)/($C13-D$9)/(1+$C13)^DCF!$D$36+DCF!$D$48)/DCF!$D$50</f>
        <v>186.63844173385544</v>
      </c>
      <c r="E13" s="36">
        <f>(SUMPRODUCT(DCF!$D$23:$H$23,1/(1+$C13)^DCF!$D$21:$H$21)+((Projections!$H$30+Projections!$H$32*(1-Assumptions!$D$15))*(1+E$9)-Projections!$H$36*E$9)/($C13-E$9)/(1+$C13)^DCF!$D$36+DCF!$D$48)/DCF!$D$50</f>
        <v>198.74797638057288</v>
      </c>
      <c r="F13" s="36">
        <f>(SUMPRODUCT(DCF!$D$23:$H$23,1/(1+$C13)^DCF!$D$21:$H$21)+((Projections!$H$30+Projections!$H$32*(1-Assumptions!$D$15))*(1+F$9)-Projections!$H$36*F$9)/($C13-F$9)/(1+$C13)^DCF!$D$36+DCF!$D$48)/DCF!$D$50</f>
        <v>212.65234753731741</v>
      </c>
      <c r="G13" s="36">
        <f>(SUMPRODUCT(DCF!$D$23:$H$23,1/(1+$C13)^DCF!$D$21:$H$21)+((Projections!$H$30+Projections!$H$32*(1-Assumptions!$D$15))*(1+G$9)-Projections!$H$36*G$9)/($C13-G$9)/(1+$C13)^DCF!$D$36+DCF!$D$48)/DCF!$D$50</f>
        <v>228.78253156731711</v>
      </c>
      <c r="H13" s="36">
        <f>(SUMPRODUCT(DCF!$D$23:$H$23,1/(1+$C13)^DCF!$D$21:$H$21)+((Projections!$H$30+Projections!$H$32*(1-Assumptions!$D$15))*(1+H$9)-Projections!$H$36*H$9)/($C13-H$9)/(1+$C13)^DCF!$D$36+DCF!$D$48)/DCF!$D$50</f>
        <v>247.71949121273855</v>
      </c>
      <c r="I13" s="1"/>
      <c r="J13" s="1"/>
      <c r="K13" s="1"/>
      <c r="L13" s="1"/>
    </row>
    <row r="14" spans="1:12" ht="19" customHeight="1">
      <c r="A14" s="1"/>
      <c r="B14" s="1"/>
      <c r="C14" s="28">
        <f>DCF!D15+(4-3)*Assumptions!D21</f>
        <v>0.10246873366497002</v>
      </c>
      <c r="D14" s="36">
        <f>(SUMPRODUCT(DCF!$D$23:$H$23,1/(1+$C14)^DCF!$D$21:$H$21)+((Projections!$H$30+Projections!$H$32*(1-Assumptions!$D$15))*(1+D$9)-Projections!$H$36*D$9)/($C14-D$9)/(1+$C14)^DCF!$D$36+DCF!$D$48)/DCF!$D$50</f>
        <v>173.2414230528191</v>
      </c>
      <c r="E14" s="36">
        <f>(SUMPRODUCT(DCF!$D$23:$H$23,1/(1+$C14)^DCF!$D$21:$H$21)+((Projections!$H$30+Projections!$H$32*(1-Assumptions!$D$15))*(1+E$9)-Projections!$H$36*E$9)/($C14-E$9)/(1+$C14)^DCF!$D$36+DCF!$D$48)/DCF!$D$50</f>
        <v>183.71137698331498</v>
      </c>
      <c r="F14" s="36">
        <f>(SUMPRODUCT(DCF!$D$23:$H$23,1/(1+$C14)^DCF!$D$21:$H$21)+((Projections!$H$30+Projections!$H$32*(1-Assumptions!$D$15))*(1+F$9)-Projections!$H$36*F$9)/($C14-F$9)/(1+$C14)^DCF!$D$36+DCF!$D$48)/DCF!$D$50</f>
        <v>195.6260855550193</v>
      </c>
      <c r="G14" s="36">
        <f>(SUMPRODUCT(DCF!$D$23:$H$23,1/(1+$C14)^DCF!$D$21:$H$21)+((Projections!$H$30+Projections!$H$32*(1-Assumptions!$D$15))*(1+G$9)-Projections!$H$36*G$9)/($C14-G$9)/(1+$C14)^DCF!$D$36+DCF!$D$48)/DCF!$D$50</f>
        <v>209.30675413878919</v>
      </c>
      <c r="H14" s="36">
        <f>(SUMPRODUCT(DCF!$D$23:$H$23,1/(1+$C14)^DCF!$D$21:$H$21)+((Projections!$H$30+Projections!$H$32*(1-Assumptions!$D$15))*(1+H$9)-Projections!$H$36*H$9)/($C14-H$9)/(1+$C14)^DCF!$D$36+DCF!$D$48)/DCF!$D$50</f>
        <v>225.17742526961604</v>
      </c>
      <c r="I14" s="1"/>
      <c r="J14" s="1"/>
      <c r="K14" s="1"/>
      <c r="L14" s="1"/>
    </row>
    <row r="15" spans="1:12" ht="19" customHeight="1">
      <c r="A15" s="1"/>
      <c r="B15" s="1"/>
      <c r="C15" s="28">
        <f>DCF!D15+(5-3)*Assumptions!D21</f>
        <v>0.10746873366497001</v>
      </c>
      <c r="D15" s="36">
        <f>(SUMPRODUCT(DCF!$D$23:$H$23,1/(1+$C15)^DCF!$D$21:$H$21)+((Projections!$H$30+Projections!$H$32*(1-Assumptions!$D$15))*(1+D$9)-Projections!$H$36*D$9)/($C15-D$9)/(1+$C15)^DCF!$D$36+DCF!$D$48)/DCF!$D$50</f>
        <v>161.41786741439796</v>
      </c>
      <c r="E15" s="36">
        <f>(SUMPRODUCT(DCF!$D$23:$H$23,1/(1+$C15)^DCF!$D$21:$H$21)+((Projections!$H$30+Projections!$H$32*(1-Assumptions!$D$15))*(1+E$9)-Projections!$H$36*E$9)/($C15-E$9)/(1+$C15)^DCF!$D$36+DCF!$D$48)/DCF!$D$50</f>
        <v>170.54235066326609</v>
      </c>
      <c r="F15" s="36">
        <f>(SUMPRODUCT(DCF!$D$23:$H$23,1/(1+$C15)^DCF!$D$21:$H$21)+((Projections!$H$30+Projections!$H$32*(1-Assumptions!$D$15))*(1+F$9)-Projections!$H$36*F$9)/($C15-F$9)/(1+$C15)^DCF!$D$36+DCF!$D$48)/DCF!$D$50</f>
        <v>180.84466176825094</v>
      </c>
      <c r="G15" s="36">
        <f>(SUMPRODUCT(DCF!$D$23:$H$23,1/(1+$C15)^DCF!$D$21:$H$21)+((Projections!$H$30+Projections!$H$32*(1-Assumptions!$D$15))*(1+G$9)-Projections!$H$36*G$9)/($C15-G$9)/(1+$C15)^DCF!$D$36+DCF!$D$48)/DCF!$D$50</f>
        <v>192.56859438971111</v>
      </c>
      <c r="H15" s="36">
        <f>(SUMPRODUCT(DCF!$D$23:$H$23,1/(1+$C15)^DCF!$D$21:$H$21)+((Projections!$H$30+Projections!$H$32*(1-Assumptions!$D$15))*(1+H$9)-Projections!$H$36*H$9)/($C15-H$9)/(1+$C15)^DCF!$D$36+DCF!$D$48)/DCF!$D$50</f>
        <v>206.03021082182028</v>
      </c>
      <c r="I15" s="1"/>
      <c r="J15" s="1"/>
      <c r="K15" s="1"/>
      <c r="L15" s="1"/>
    </row>
    <row r="16" spans="1:12" ht="19" customHeight="1">
      <c r="A16" s="1"/>
      <c r="B16" s="1"/>
      <c r="C16" s="28">
        <f>DCF!D15+(6-3)*Assumptions!D21</f>
        <v>0.11246873366497001</v>
      </c>
      <c r="D16" s="36">
        <f>(SUMPRODUCT(DCF!$D$23:$H$23,1/(1+$C16)^DCF!$D$21:$H$21)+((Projections!$H$30+Projections!$H$32*(1-Assumptions!$D$15))*(1+D$9)-Projections!$H$36*D$9)/($C16-D$9)/(1+$C16)^DCF!$D$36+DCF!$D$48)/DCF!$D$50</f>
        <v>150.91152178004901</v>
      </c>
      <c r="E16" s="36">
        <f>(SUMPRODUCT(DCF!$D$23:$H$23,1/(1+$C16)^DCF!$D$21:$H$21)+((Projections!$H$30+Projections!$H$32*(1-Assumptions!$D$15))*(1+E$9)-Projections!$H$36*E$9)/($C16-E$9)/(1+$C16)^DCF!$D$36+DCF!$D$48)/DCF!$D$50</f>
        <v>158.91956089630858</v>
      </c>
      <c r="F16" s="36">
        <f>(SUMPRODUCT(DCF!$D$23:$H$23,1/(1+$C16)^DCF!$D$21:$H$21)+((Projections!$H$30+Projections!$H$32*(1-Assumptions!$D$15))*(1+F$9)-Projections!$H$36*F$9)/($C16-F$9)/(1+$C16)^DCF!$D$36+DCF!$D$48)/DCF!$D$50</f>
        <v>167.89863943082722</v>
      </c>
      <c r="G16" s="36">
        <f>(SUMPRODUCT(DCF!$D$23:$H$23,1/(1+$C16)^DCF!$D$21:$H$21)+((Projections!$H$30+Projections!$H$32*(1-Assumptions!$D$15))*(1+G$9)-Projections!$H$36*G$9)/($C16-G$9)/(1+$C16)^DCF!$D$36+DCF!$D$48)/DCF!$D$50</f>
        <v>178.03677635054555</v>
      </c>
      <c r="H16" s="36">
        <f>(SUMPRODUCT(DCF!$D$23:$H$23,1/(1+$C16)^DCF!$D$21:$H$21)+((Projections!$H$30+Projections!$H$32*(1-Assumptions!$D$15))*(1+H$9)-Projections!$H$36*H$9)/($C16-H$9)/(1+$C16)^DCF!$D$36+DCF!$D$48)/DCF!$D$50</f>
        <v>189.57388030156156</v>
      </c>
      <c r="I16" s="1"/>
      <c r="J16" s="1"/>
      <c r="K16" s="1"/>
      <c r="L16" s="1"/>
    </row>
    <row r="17" spans="1:12" ht="19" customHeight="1">
      <c r="A17" s="1"/>
      <c r="B17" s="1"/>
      <c r="C17" s="1"/>
      <c r="D17" s="2"/>
      <c r="E17" s="2"/>
      <c r="F17" s="2"/>
      <c r="G17" s="2"/>
      <c r="H17" s="2"/>
      <c r="I17" s="1"/>
      <c r="J17" s="1"/>
      <c r="K17" s="1"/>
      <c r="L17" s="1"/>
    </row>
    <row r="18" spans="1:12" ht="19" customHeight="1">
      <c r="A18" s="1"/>
      <c r="B18" s="1"/>
      <c r="C18" s="1"/>
      <c r="D18" s="2"/>
      <c r="E18" s="2"/>
      <c r="F18" s="2"/>
      <c r="G18" s="2"/>
      <c r="H18" s="2"/>
      <c r="I18" s="1"/>
      <c r="J18" s="1"/>
      <c r="K18" s="1"/>
      <c r="L18" s="1"/>
    </row>
    <row r="19" spans="1:12" ht="19" customHeight="1">
      <c r="A19" s="1"/>
      <c r="B19" s="1"/>
      <c r="C19" s="1" t="s">
        <v>300</v>
      </c>
      <c r="D19" s="37">
        <f>F13-DCF!D51</f>
        <v>0</v>
      </c>
      <c r="E19" s="2"/>
      <c r="F19" s="2"/>
      <c r="G19" s="2"/>
      <c r="H19" s="2"/>
      <c r="I19" s="1"/>
      <c r="J19" s="1"/>
      <c r="K19" s="1"/>
      <c r="L19" s="1"/>
    </row>
    <row r="20" spans="1:12" ht="19" customHeight="1">
      <c r="A20" s="1"/>
      <c r="B20" s="1"/>
      <c r="C20" s="1"/>
      <c r="D20" s="2"/>
      <c r="E20" s="2"/>
      <c r="F20" s="2"/>
      <c r="G20" s="2"/>
      <c r="H20" s="2"/>
      <c r="I20" s="1"/>
      <c r="J20" s="1"/>
      <c r="K20" s="1"/>
      <c r="L20" s="1"/>
    </row>
    <row r="21" spans="1:12" ht="19" customHeight="1">
      <c r="A21" s="1"/>
      <c r="B21" s="1"/>
      <c r="C21" s="1" t="s">
        <v>301</v>
      </c>
      <c r="D21" s="36">
        <f>Assumptions!D7</f>
        <v>340.59</v>
      </c>
      <c r="E21" s="2"/>
      <c r="F21" s="2"/>
      <c r="G21" s="2"/>
      <c r="H21" s="2"/>
      <c r="I21" s="1"/>
      <c r="J21" s="1"/>
      <c r="K21" s="1"/>
      <c r="L21" s="1"/>
    </row>
    <row r="22" spans="1:12" ht="19" customHeight="1">
      <c r="A22" s="1"/>
      <c r="B22" s="1"/>
      <c r="C22" s="1" t="s">
        <v>302</v>
      </c>
      <c r="D22" s="5">
        <f>(Assumptions!D7*DCF!D50-DCF!D48-DCF!D38)*(1+DCF!D15)^DCF!D36*(DCF!D15-Assumptions!D14)</f>
        <v>392472.46284723567</v>
      </c>
      <c r="E22" s="2"/>
      <c r="F22" s="2"/>
      <c r="G22" s="2"/>
      <c r="H22" s="2"/>
      <c r="I22" s="1"/>
      <c r="J22" s="1"/>
      <c r="K22" s="1"/>
      <c r="L22" s="1"/>
    </row>
    <row r="23" spans="1:12" ht="19" customHeight="1">
      <c r="A23" s="1"/>
      <c r="B23" s="1"/>
      <c r="C23" s="1" t="s">
        <v>152</v>
      </c>
      <c r="D23" s="38">
        <f>D22/DCF!D34</f>
        <v>1.660939547528119</v>
      </c>
      <c r="E23" s="2"/>
      <c r="F23" s="2"/>
      <c r="G23" s="2"/>
      <c r="H23" s="2"/>
      <c r="I23" s="1"/>
      <c r="J23" s="1"/>
      <c r="K23" s="1"/>
      <c r="L23" s="1"/>
    </row>
    <row r="24" spans="1:12" ht="19" customHeight="1">
      <c r="A24" s="1"/>
      <c r="B24" s="1"/>
      <c r="C24" s="1"/>
      <c r="D24" s="2"/>
      <c r="E24" s="2"/>
      <c r="F24" s="2"/>
      <c r="G24" s="2"/>
      <c r="H24" s="2"/>
      <c r="I24" s="1"/>
      <c r="J24" s="1"/>
      <c r="K24" s="1"/>
      <c r="L24" s="1"/>
    </row>
    <row r="25" spans="1:12" ht="19" customHeight="1">
      <c r="A25" s="1"/>
      <c r="B25" s="1"/>
      <c r="C25" s="1"/>
      <c r="D25" s="2"/>
      <c r="E25" s="2"/>
      <c r="F25" s="2"/>
      <c r="G25" s="2"/>
      <c r="H25" s="2"/>
      <c r="I25" s="1"/>
      <c r="J25" s="1"/>
      <c r="K25" s="1"/>
      <c r="L25" s="1"/>
    </row>
    <row r="26" spans="1:12" ht="19" customHeight="1">
      <c r="A26" s="1"/>
      <c r="B26" s="1"/>
      <c r="C26" s="1"/>
      <c r="D26" s="2"/>
      <c r="E26" s="2"/>
      <c r="F26" s="2"/>
      <c r="G26" s="2"/>
      <c r="H26" s="2"/>
      <c r="I26" s="1"/>
      <c r="J26" s="1"/>
      <c r="K26" s="1"/>
      <c r="L26" s="1"/>
    </row>
    <row r="27" spans="1:12" ht="19" customHeight="1">
      <c r="A27" s="1"/>
      <c r="B27" s="1"/>
      <c r="C27" s="1"/>
      <c r="D27" s="2"/>
      <c r="E27" s="2"/>
      <c r="F27" s="2"/>
      <c r="G27" s="2"/>
      <c r="H27" s="2"/>
      <c r="I27" s="1"/>
      <c r="J27" s="1"/>
      <c r="K27" s="1"/>
      <c r="L27" s="1"/>
    </row>
    <row r="28" spans="1:12" ht="19" customHeight="1">
      <c r="A28" s="1"/>
      <c r="B28" s="1"/>
      <c r="C28" s="1"/>
      <c r="D28" s="2"/>
      <c r="E28" s="2"/>
      <c r="F28" s="2"/>
      <c r="G28" s="2"/>
      <c r="H28" s="2"/>
      <c r="I28" s="1"/>
      <c r="J28" s="1"/>
      <c r="K28" s="1"/>
      <c r="L28" s="1"/>
    </row>
    <row r="29" spans="1:12" ht="19" customHeight="1">
      <c r="A29" s="1"/>
      <c r="B29" s="1"/>
      <c r="C29" s="1"/>
      <c r="D29" s="2"/>
      <c r="E29" s="2"/>
      <c r="F29" s="2"/>
      <c r="G29" s="2"/>
      <c r="H29" s="2"/>
      <c r="I29" s="1"/>
      <c r="J29" s="1"/>
      <c r="K29" s="1"/>
      <c r="L29" s="1"/>
    </row>
    <row r="30" spans="1:12" ht="19" customHeight="1">
      <c r="A30" s="1"/>
      <c r="B30" s="1"/>
      <c r="C30" s="1"/>
      <c r="D30" s="2"/>
      <c r="E30" s="2"/>
      <c r="F30" s="2"/>
      <c r="G30" s="2"/>
      <c r="H30" s="2"/>
      <c r="I30" s="1"/>
      <c r="J30" s="1"/>
      <c r="K30" s="1"/>
      <c r="L30" s="1"/>
    </row>
    <row r="31" spans="1:12" ht="19" customHeight="1">
      <c r="A31" s="1"/>
      <c r="B31" s="1"/>
      <c r="C31" s="1"/>
      <c r="D31" s="2"/>
      <c r="E31" s="2"/>
      <c r="F31" s="2"/>
      <c r="G31" s="2"/>
      <c r="H31" s="2"/>
      <c r="I31" s="1"/>
      <c r="J31" s="1"/>
      <c r="K31" s="1"/>
      <c r="L31" s="1"/>
    </row>
    <row r="32" spans="1:12" ht="19" customHeight="1">
      <c r="A32" s="1"/>
      <c r="B32" s="1"/>
      <c r="C32" s="1"/>
      <c r="D32" s="2"/>
      <c r="E32" s="2"/>
      <c r="F32" s="2"/>
      <c r="G32" s="2"/>
      <c r="H32" s="2"/>
      <c r="I32" s="1"/>
      <c r="J32" s="1"/>
      <c r="K32" s="1"/>
      <c r="L32" s="1"/>
    </row>
    <row r="33" spans="1:12" ht="19" customHeight="1">
      <c r="A33" s="1"/>
      <c r="B33" s="1"/>
      <c r="C33" s="1"/>
      <c r="D33" s="2"/>
      <c r="E33" s="2"/>
      <c r="F33" s="2"/>
      <c r="G33" s="2"/>
      <c r="H33" s="2"/>
      <c r="I33" s="1"/>
      <c r="J33" s="1"/>
      <c r="K33" s="1"/>
      <c r="L33" s="1"/>
    </row>
    <row r="34" spans="1:12" ht="19" customHeight="1">
      <c r="A34" s="1"/>
      <c r="B34" s="1"/>
      <c r="C34" s="1"/>
      <c r="D34" s="2"/>
      <c r="E34" s="2"/>
      <c r="F34" s="2"/>
      <c r="G34" s="2"/>
      <c r="H34" s="2"/>
      <c r="I34" s="1"/>
      <c r="J34" s="1"/>
      <c r="K34" s="1"/>
      <c r="L34" s="1"/>
    </row>
    <row r="35" spans="1:12" ht="19" customHeight="1">
      <c r="A35" s="1"/>
      <c r="B35" s="1"/>
      <c r="C35" s="1"/>
      <c r="D35" s="2"/>
      <c r="E35" s="2"/>
      <c r="F35" s="2"/>
      <c r="G35" s="2"/>
      <c r="H35" s="2"/>
      <c r="I35" s="1"/>
      <c r="J35" s="1"/>
      <c r="K35" s="1"/>
      <c r="L35" s="1"/>
    </row>
    <row r="36" spans="1:12" ht="19" customHeight="1">
      <c r="A36" s="1"/>
      <c r="B36" s="1"/>
      <c r="C36" s="1"/>
      <c r="D36" s="2"/>
      <c r="E36" s="2"/>
      <c r="F36" s="2"/>
      <c r="G36" s="2"/>
      <c r="H36" s="2"/>
      <c r="I36" s="1"/>
      <c r="J36" s="1"/>
      <c r="K36" s="1"/>
      <c r="L36" s="1"/>
    </row>
    <row r="37" spans="1:12" ht="19" customHeight="1">
      <c r="A37" s="1"/>
      <c r="B37" s="1"/>
      <c r="C37" s="1"/>
      <c r="D37" s="2"/>
      <c r="E37" s="2"/>
      <c r="F37" s="2"/>
      <c r="G37" s="2"/>
      <c r="H37" s="2"/>
      <c r="I37" s="1"/>
      <c r="J37" s="1"/>
      <c r="K37" s="1"/>
      <c r="L37" s="1"/>
    </row>
    <row r="38" spans="1:12" ht="19" customHeight="1">
      <c r="A38" s="1"/>
      <c r="B38" s="1"/>
      <c r="C38" s="1"/>
      <c r="D38" s="2"/>
      <c r="E38" s="2"/>
      <c r="F38" s="2"/>
      <c r="G38" s="2"/>
      <c r="H38" s="2"/>
      <c r="I38" s="1"/>
      <c r="J38" s="1"/>
      <c r="K38" s="1"/>
      <c r="L38" s="1"/>
    </row>
    <row r="39" spans="1:12" ht="19" customHeight="1">
      <c r="A39" s="1"/>
      <c r="B39" s="1"/>
      <c r="C39" s="1"/>
      <c r="D39" s="2"/>
      <c r="E39" s="2"/>
      <c r="F39" s="2"/>
      <c r="G39" s="2"/>
      <c r="H39" s="2"/>
      <c r="I39" s="1"/>
      <c r="J39" s="1"/>
      <c r="K39" s="1"/>
      <c r="L39" s="1"/>
    </row>
    <row r="40" spans="1:12" ht="19" customHeight="1">
      <c r="A40" s="1"/>
      <c r="B40" s="1"/>
      <c r="C40" s="1"/>
      <c r="D40" s="2"/>
      <c r="E40" s="2"/>
      <c r="F40" s="2"/>
      <c r="G40" s="2"/>
      <c r="H40" s="2"/>
      <c r="I40" s="1"/>
      <c r="J40" s="1"/>
      <c r="K40" s="1"/>
      <c r="L40" s="1"/>
    </row>
    <row r="41" spans="1:12" ht="19" customHeight="1">
      <c r="A41" s="1"/>
      <c r="B41" s="1"/>
      <c r="C41" s="1"/>
      <c r="D41" s="2"/>
      <c r="E41" s="2"/>
      <c r="F41" s="2"/>
      <c r="G41" s="2"/>
      <c r="H41" s="2"/>
      <c r="I41" s="1"/>
      <c r="J41" s="1"/>
      <c r="K41" s="1"/>
      <c r="L41" s="1"/>
    </row>
    <row r="42" spans="1:12" ht="19" customHeight="1">
      <c r="A42" s="1"/>
      <c r="B42" s="1"/>
      <c r="C42" s="1"/>
      <c r="D42" s="2"/>
      <c r="E42" s="2"/>
      <c r="F42" s="2"/>
      <c r="G42" s="2"/>
      <c r="H42" s="2"/>
      <c r="I42" s="1"/>
      <c r="J42" s="1"/>
      <c r="K42" s="1"/>
      <c r="L42" s="1"/>
    </row>
    <row r="43" spans="1:12" ht="19" customHeight="1">
      <c r="A43" s="1"/>
      <c r="B43" s="1"/>
      <c r="C43" s="1"/>
      <c r="D43" s="2"/>
      <c r="E43" s="2"/>
      <c r="F43" s="2"/>
      <c r="G43" s="2"/>
      <c r="H43" s="2"/>
      <c r="I43" s="1"/>
      <c r="J43" s="1"/>
      <c r="K43" s="1"/>
      <c r="L43" s="1"/>
    </row>
    <row r="44" spans="1:12" ht="19" customHeight="1">
      <c r="A44" s="1"/>
      <c r="B44" s="1"/>
      <c r="C44" s="1"/>
      <c r="D44" s="2"/>
      <c r="E44" s="2"/>
      <c r="F44" s="2"/>
      <c r="G44" s="2"/>
      <c r="H44" s="2"/>
      <c r="I44" s="1"/>
      <c r="J44" s="1"/>
      <c r="K44" s="1"/>
      <c r="L44" s="1"/>
    </row>
    <row r="45" spans="1:12" ht="19" customHeight="1">
      <c r="A45" s="1"/>
      <c r="B45" s="1"/>
      <c r="C45" s="1"/>
      <c r="D45" s="2"/>
      <c r="E45" s="2"/>
      <c r="F45" s="2"/>
      <c r="G45" s="2"/>
      <c r="H45" s="2"/>
      <c r="I45" s="1"/>
      <c r="J45" s="1"/>
      <c r="K45" s="1"/>
      <c r="L45" s="1"/>
    </row>
    <row r="46" spans="1:12" ht="19" customHeight="1">
      <c r="A46" s="1"/>
      <c r="B46" s="1"/>
      <c r="C46" s="1"/>
      <c r="D46" s="2"/>
      <c r="E46" s="2"/>
      <c r="F46" s="2"/>
      <c r="G46" s="2"/>
      <c r="H46" s="2"/>
      <c r="I46" s="1"/>
      <c r="J46" s="1"/>
      <c r="K46" s="1"/>
      <c r="L46" s="1"/>
    </row>
    <row r="47" spans="1:12" ht="19" customHeight="1">
      <c r="A47" s="1"/>
      <c r="B47" s="1"/>
      <c r="C47" s="1"/>
      <c r="D47" s="2"/>
      <c r="E47" s="2"/>
      <c r="F47" s="2"/>
      <c r="G47" s="2"/>
      <c r="H47" s="2"/>
      <c r="I47" s="1"/>
      <c r="J47" s="1"/>
      <c r="K47" s="1"/>
      <c r="L47" s="1"/>
    </row>
    <row r="48" spans="1:12" ht="19" customHeight="1">
      <c r="A48" s="1"/>
      <c r="B48" s="1"/>
      <c r="C48" s="1"/>
      <c r="D48" s="2"/>
      <c r="E48" s="2"/>
      <c r="F48" s="2"/>
      <c r="G48" s="2"/>
      <c r="H48" s="2"/>
      <c r="I48" s="1"/>
      <c r="J48" s="1"/>
      <c r="K48" s="1"/>
      <c r="L48" s="1"/>
    </row>
    <row r="49" spans="1:12" ht="19" customHeight="1">
      <c r="A49" s="1"/>
      <c r="B49" s="1"/>
      <c r="C49" s="1"/>
      <c r="D49" s="2"/>
      <c r="E49" s="2"/>
      <c r="F49" s="2"/>
      <c r="G49" s="2"/>
      <c r="H49" s="2"/>
      <c r="I49" s="1"/>
      <c r="J49" s="1"/>
      <c r="K49" s="1"/>
      <c r="L49" s="1"/>
    </row>
    <row r="50" spans="1:12" ht="19" customHeight="1">
      <c r="A50" s="1"/>
      <c r="B50" s="1"/>
      <c r="C50" s="1"/>
      <c r="D50" s="2"/>
      <c r="E50" s="2"/>
      <c r="F50" s="2"/>
      <c r="G50" s="2"/>
      <c r="H50" s="2"/>
      <c r="I50" s="1"/>
      <c r="J50" s="1"/>
      <c r="K50" s="1"/>
      <c r="L50" s="1"/>
    </row>
    <row r="51" spans="1:12" ht="19" customHeight="1">
      <c r="A51" s="1"/>
      <c r="B51" s="1"/>
      <c r="C51" s="1"/>
      <c r="D51" s="2"/>
      <c r="E51" s="2"/>
      <c r="F51" s="2"/>
      <c r="G51" s="2"/>
      <c r="H51" s="2"/>
      <c r="I51" s="1"/>
      <c r="J51" s="1"/>
      <c r="K51" s="1"/>
      <c r="L51" s="1"/>
    </row>
    <row r="52" spans="1:12" ht="19" customHeight="1">
      <c r="A52" s="1"/>
      <c r="B52" s="1"/>
      <c r="C52" s="1"/>
      <c r="D52" s="2"/>
      <c r="E52" s="2"/>
      <c r="F52" s="2"/>
      <c r="G52" s="2"/>
      <c r="H52" s="2"/>
      <c r="I52" s="1"/>
      <c r="J52" s="1"/>
      <c r="K52" s="1"/>
      <c r="L52" s="1"/>
    </row>
    <row r="53" spans="1:12" ht="19" customHeight="1">
      <c r="A53" s="1"/>
      <c r="B53" s="1"/>
      <c r="C53" s="1"/>
      <c r="D53" s="2"/>
      <c r="E53" s="2"/>
      <c r="F53" s="2"/>
      <c r="G53" s="2"/>
      <c r="H53" s="2"/>
      <c r="I53" s="1"/>
      <c r="J53" s="1"/>
      <c r="K53" s="1"/>
      <c r="L53" s="1"/>
    </row>
    <row r="54" spans="1:12" ht="19" customHeight="1">
      <c r="A54" s="1"/>
      <c r="B54" s="1"/>
      <c r="C54" s="1"/>
      <c r="D54" s="2"/>
      <c r="E54" s="2"/>
      <c r="F54" s="2"/>
      <c r="G54" s="2"/>
      <c r="H54" s="2"/>
      <c r="I54" s="1"/>
      <c r="J54" s="1"/>
      <c r="K54" s="1"/>
      <c r="L54" s="1"/>
    </row>
    <row r="55" spans="1:12" ht="19" customHeight="1">
      <c r="A55" s="1"/>
      <c r="B55" s="1"/>
      <c r="C55" s="1"/>
      <c r="D55" s="2"/>
      <c r="E55" s="2"/>
      <c r="F55" s="2"/>
      <c r="G55" s="2"/>
      <c r="H55" s="2"/>
      <c r="I55" s="1"/>
      <c r="J55" s="1"/>
      <c r="K55" s="1"/>
      <c r="L55" s="1"/>
    </row>
    <row r="56" spans="1:12" ht="19" customHeight="1">
      <c r="A56" s="1"/>
      <c r="B56" s="1"/>
      <c r="C56" s="1"/>
      <c r="D56" s="2"/>
      <c r="E56" s="2"/>
      <c r="F56" s="2"/>
      <c r="G56" s="2"/>
      <c r="H56" s="2"/>
      <c r="I56" s="1"/>
      <c r="J56" s="1"/>
      <c r="K56" s="1"/>
      <c r="L56" s="1"/>
    </row>
    <row r="57" spans="1:12" ht="19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</row>
    <row r="59" spans="1:12" ht="19" customHeight="1">
      <c r="A59" s="1"/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</row>
    <row r="60" spans="1:12" ht="19" customHeight="1">
      <c r="A60" s="1"/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</row>
    <row r="61" spans="1:12" ht="19" customHeight="1">
      <c r="A61" s="1"/>
      <c r="B61" s="1"/>
      <c r="C61" s="1"/>
      <c r="D61" s="2"/>
      <c r="E61" s="2"/>
      <c r="F61" s="2"/>
      <c r="G61" s="2"/>
      <c r="H61" s="2"/>
      <c r="I61" s="1"/>
      <c r="J61" s="1"/>
      <c r="K61" s="1"/>
      <c r="L61" s="1"/>
    </row>
    <row r="62" spans="1:12" ht="19" customHeight="1">
      <c r="A62" s="1"/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</row>
    <row r="63" spans="1:12" ht="19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</row>
    <row r="64" spans="1:12" ht="19" customHeight="1">
      <c r="A64" s="1"/>
      <c r="B64" s="1"/>
      <c r="C64" s="1"/>
      <c r="D64" s="2"/>
      <c r="E64" s="2"/>
      <c r="F64" s="2"/>
      <c r="G64" s="2"/>
      <c r="H64" s="2"/>
      <c r="I64" s="1"/>
      <c r="J64" s="1"/>
      <c r="K64" s="1"/>
      <c r="L64" s="1"/>
    </row>
    <row r="65" spans="1:12" ht="19" customHeight="1">
      <c r="A65" s="1"/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</row>
    <row r="66" spans="1:12" ht="19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</row>
    <row r="67" spans="1:12" ht="19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</row>
    <row r="68" spans="1:12" ht="19" customHeight="1">
      <c r="A68" s="1"/>
      <c r="B68" s="1"/>
      <c r="C68" s="1"/>
      <c r="D68" s="2"/>
      <c r="E68" s="2"/>
      <c r="F68" s="2"/>
      <c r="G68" s="2"/>
      <c r="H68" s="2"/>
      <c r="I68" s="1"/>
      <c r="J68" s="1"/>
      <c r="K68" s="1"/>
      <c r="L68" s="1"/>
    </row>
    <row r="69" spans="1:12" ht="19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</row>
    <row r="70" spans="1:12" ht="19" customHeight="1">
      <c r="A70" s="1"/>
      <c r="B70" s="1"/>
      <c r="C70" s="1"/>
      <c r="D70" s="2"/>
      <c r="E70" s="2"/>
      <c r="F70" s="2"/>
      <c r="G70" s="2"/>
      <c r="H70" s="2"/>
      <c r="I70" s="1"/>
      <c r="J70" s="1"/>
      <c r="K70" s="1"/>
      <c r="L70" s="1"/>
    </row>
    <row r="71" spans="1:12" ht="19" customHeight="1">
      <c r="A71" s="1"/>
      <c r="B71" s="1"/>
      <c r="C71" s="1"/>
      <c r="D71" s="2"/>
      <c r="E71" s="2"/>
      <c r="F71" s="2"/>
      <c r="G71" s="2"/>
      <c r="H71" s="2"/>
      <c r="I71" s="1"/>
      <c r="J71" s="1"/>
      <c r="K71" s="1"/>
      <c r="L71" s="1"/>
    </row>
    <row r="72" spans="1:12" ht="19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</row>
    <row r="73" spans="1:12" ht="19" customHeight="1">
      <c r="A73" s="1"/>
      <c r="B73" s="1"/>
      <c r="C73" s="1"/>
      <c r="D73" s="2"/>
      <c r="E73" s="2"/>
      <c r="F73" s="2"/>
      <c r="G73" s="2"/>
      <c r="H73" s="2"/>
      <c r="I73" s="1"/>
      <c r="J73" s="1"/>
      <c r="K73" s="1"/>
      <c r="L73" s="1"/>
    </row>
    <row r="74" spans="1:12" ht="19" customHeight="1">
      <c r="A74" s="1"/>
      <c r="B74" s="1"/>
      <c r="C74" s="1"/>
      <c r="D74" s="2"/>
      <c r="E74" s="2"/>
      <c r="F74" s="2"/>
      <c r="G74" s="2"/>
      <c r="H74" s="2"/>
      <c r="I74" s="1"/>
      <c r="J74" s="1"/>
      <c r="K74" s="1"/>
      <c r="L74" s="1"/>
    </row>
    <row r="75" spans="1:12" ht="19" customHeight="1">
      <c r="A75" s="1"/>
      <c r="B75" s="1"/>
      <c r="C75" s="1"/>
      <c r="D75" s="2"/>
      <c r="E75" s="2"/>
      <c r="F75" s="2"/>
      <c r="G75" s="2"/>
      <c r="H75" s="2"/>
      <c r="I75" s="1"/>
      <c r="J75" s="1"/>
      <c r="K75" s="1"/>
      <c r="L75" s="1"/>
    </row>
    <row r="76" spans="1:12" ht="19" customHeight="1">
      <c r="A76" s="1"/>
      <c r="B76" s="1"/>
      <c r="C76" s="1"/>
      <c r="D76" s="2"/>
      <c r="E76" s="2"/>
      <c r="F76" s="2"/>
      <c r="G76" s="2"/>
      <c r="H76" s="2"/>
      <c r="I76" s="1"/>
      <c r="J76" s="1"/>
      <c r="K76" s="1"/>
      <c r="L76" s="1"/>
    </row>
    <row r="77" spans="1:12" ht="19" customHeight="1">
      <c r="A77" s="1"/>
      <c r="B77" s="1"/>
      <c r="C77" s="1"/>
      <c r="D77" s="2"/>
      <c r="E77" s="2"/>
      <c r="F77" s="2"/>
      <c r="G77" s="2"/>
      <c r="H77" s="2"/>
      <c r="I77" s="1"/>
      <c r="J77" s="1"/>
      <c r="K77" s="1"/>
      <c r="L77" s="1"/>
    </row>
    <row r="78" spans="1:12" ht="19" customHeight="1">
      <c r="A78" s="1"/>
      <c r="B78" s="1"/>
      <c r="C78" s="1"/>
      <c r="D78" s="2"/>
      <c r="E78" s="2"/>
      <c r="F78" s="2"/>
      <c r="G78" s="2"/>
      <c r="H78" s="2"/>
      <c r="I78" s="1"/>
      <c r="J78" s="1"/>
      <c r="K78" s="1"/>
      <c r="L78" s="1"/>
    </row>
    <row r="79" spans="1:12" ht="19" customHeight="1">
      <c r="A79" s="1"/>
      <c r="B79" s="1"/>
      <c r="C79" s="1"/>
      <c r="D79" s="2"/>
      <c r="E79" s="2"/>
      <c r="F79" s="2"/>
      <c r="G79" s="2"/>
      <c r="H79" s="2"/>
      <c r="I79" s="1"/>
      <c r="J79" s="1"/>
      <c r="K79" s="1"/>
      <c r="L79" s="1"/>
    </row>
    <row r="80" spans="1:12" ht="19" customHeight="1">
      <c r="A80" s="1"/>
      <c r="B80" s="1"/>
      <c r="C80" s="1"/>
      <c r="D80" s="2"/>
      <c r="E80" s="2"/>
      <c r="F80" s="2"/>
      <c r="G80" s="2"/>
      <c r="H80" s="2"/>
      <c r="I80" s="1"/>
      <c r="J80" s="1"/>
      <c r="K80" s="1"/>
      <c r="L80" s="1"/>
    </row>
    <row r="81" spans="1:12" ht="19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</row>
    <row r="82" spans="1:12" ht="19" customHeight="1">
      <c r="A82" s="1"/>
      <c r="B82" s="1"/>
      <c r="C82" s="1"/>
      <c r="D82" s="2"/>
      <c r="E82" s="2"/>
      <c r="F82" s="2"/>
      <c r="G82" s="2"/>
      <c r="H82" s="2"/>
      <c r="I82" s="1"/>
      <c r="J82" s="1"/>
      <c r="K82" s="1"/>
      <c r="L82" s="1"/>
    </row>
    <row r="83" spans="1:12" ht="19" customHeight="1">
      <c r="A83" s="1"/>
      <c r="B83" s="1"/>
      <c r="C83" s="1"/>
      <c r="D83" s="2"/>
      <c r="E83" s="2"/>
      <c r="F83" s="2"/>
      <c r="G83" s="2"/>
      <c r="H83" s="2"/>
      <c r="I83" s="1"/>
      <c r="J83" s="1"/>
      <c r="K83" s="1"/>
      <c r="L83" s="1"/>
    </row>
    <row r="84" spans="1:12" ht="19" customHeight="1">
      <c r="A84" s="1"/>
      <c r="B84" s="1"/>
      <c r="C84" s="1"/>
      <c r="D84" s="2"/>
      <c r="E84" s="2"/>
      <c r="F84" s="2"/>
      <c r="G84" s="2"/>
      <c r="H84" s="2"/>
      <c r="I84" s="1"/>
      <c r="J84" s="1"/>
      <c r="K84" s="1"/>
      <c r="L84" s="1"/>
    </row>
    <row r="85" spans="1:12" ht="19" customHeight="1">
      <c r="A85" s="1"/>
      <c r="B85" s="1"/>
      <c r="C85" s="1"/>
      <c r="D85" s="2"/>
      <c r="E85" s="2"/>
      <c r="F85" s="2"/>
      <c r="G85" s="2"/>
      <c r="H85" s="2"/>
      <c r="I85" s="1"/>
      <c r="J85" s="1"/>
      <c r="K85" s="1"/>
      <c r="L85" s="1"/>
    </row>
    <row r="86" spans="1:12" ht="19" customHeight="1">
      <c r="A86" s="1"/>
      <c r="B86" s="1"/>
      <c r="C86" s="1"/>
      <c r="D86" s="2"/>
      <c r="E86" s="2"/>
      <c r="F86" s="2"/>
      <c r="G86" s="2"/>
      <c r="H86" s="2"/>
      <c r="I86" s="1"/>
      <c r="J86" s="1"/>
      <c r="K86" s="1"/>
      <c r="L86" s="1"/>
    </row>
    <row r="87" spans="1:12" ht="19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</row>
    <row r="88" spans="1:12" ht="19" customHeight="1">
      <c r="A88" s="1"/>
      <c r="B88" s="1"/>
      <c r="C88" s="1"/>
      <c r="D88" s="2"/>
      <c r="E88" s="2"/>
      <c r="F88" s="2"/>
      <c r="G88" s="2"/>
      <c r="H88" s="2"/>
      <c r="I88" s="1"/>
      <c r="J88" s="1"/>
      <c r="K88" s="1"/>
      <c r="L88" s="1"/>
    </row>
    <row r="89" spans="1:12" ht="19" customHeight="1">
      <c r="A89" s="1"/>
      <c r="B89" s="1"/>
      <c r="C89" s="1"/>
      <c r="D89" s="2"/>
      <c r="E89" s="2"/>
      <c r="F89" s="2"/>
      <c r="G89" s="2"/>
      <c r="H89" s="2"/>
      <c r="I89" s="1"/>
      <c r="J89" s="1"/>
      <c r="K89" s="1"/>
      <c r="L89" s="1"/>
    </row>
    <row r="90" spans="1:12" ht="19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</row>
    <row r="91" spans="1:12" ht="19" customHeight="1">
      <c r="A91" s="1"/>
      <c r="B91" s="1"/>
      <c r="C91" s="1"/>
      <c r="D91" s="2"/>
      <c r="E91" s="2"/>
      <c r="F91" s="2"/>
      <c r="G91" s="2"/>
      <c r="H91" s="2"/>
      <c r="I91" s="1"/>
      <c r="J91" s="1"/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19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</row>
    <row r="94" spans="1:12" ht="19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</row>
    <row r="95" spans="1:12" ht="19" customHeight="1">
      <c r="A95" s="1"/>
      <c r="B95" s="1"/>
      <c r="C95" s="1"/>
      <c r="D95" s="2"/>
      <c r="E95" s="2"/>
      <c r="F95" s="2"/>
      <c r="G95" s="2"/>
      <c r="H95" s="2"/>
      <c r="I95" s="1"/>
      <c r="J95" s="1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19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mergeCells count="1">
    <mergeCell ref="C6:J6"/>
  </mergeCells>
  <conditionalFormatting sqref="D10:H16">
    <cfRule type="colorScale" priority="1">
      <colorScale>
        <cfvo type="min"/>
        <cfvo type="percentile" val="50"/>
        <cfvo type="max"/>
        <color rgb="FFF7E6E0"/>
        <color rgb="FFFFFFFF"/>
        <color rgb="FFC8DDE9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EBBC8"/>
  </sheetPr>
  <dimension ref="A1:L190"/>
  <sheetViews>
    <sheetView showGridLines="0" workbookViewId="0">
      <pane ySplit="6" topLeftCell="A7" activePane="bottomLeft" state="frozen"/>
      <selection pane="bottomLeft"/>
    </sheetView>
  </sheetViews>
  <sheetFormatPr defaultRowHeight="14"/>
  <cols>
    <col min="1" max="2" width="2.4140625" customWidth="1"/>
    <col min="3" max="3" width="39" customWidth="1"/>
    <col min="4" max="8" width="16" customWidth="1"/>
    <col min="9" max="9" width="3" customWidth="1"/>
    <col min="10" max="10" width="92" customWidth="1"/>
  </cols>
  <sheetData>
    <row r="1" spans="1:12" ht="19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</row>
    <row r="2" spans="1:12" ht="26" customHeight="1">
      <c r="A2" s="1"/>
      <c r="B2" s="1"/>
      <c r="C2" s="3" t="s">
        <v>303</v>
      </c>
      <c r="D2" s="4"/>
      <c r="E2" s="4"/>
      <c r="F2" s="4"/>
      <c r="G2" s="4"/>
      <c r="H2" s="4"/>
      <c r="I2" s="1"/>
      <c r="J2" s="1"/>
      <c r="K2" s="1"/>
      <c r="L2" s="1"/>
    </row>
    <row r="3" spans="1:12" ht="19" customHeight="1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 spans="1:12" ht="19" customHeight="1">
      <c r="A4" s="1"/>
      <c r="B4" s="1"/>
      <c r="C4" s="1" t="s">
        <v>1</v>
      </c>
      <c r="D4" s="6" t="str">
        <f>CHOOSE(Assumptions!$D$4,"Base","Bull","Bear")</f>
        <v>Base</v>
      </c>
      <c r="E4" s="2"/>
      <c r="F4" s="2"/>
      <c r="G4" s="2"/>
      <c r="H4" s="2"/>
      <c r="I4" s="1"/>
      <c r="J4" s="1"/>
      <c r="K4" s="1"/>
      <c r="L4" s="1"/>
    </row>
    <row r="5" spans="1:12" ht="19" customHeight="1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 spans="1:12" ht="19" customHeight="1">
      <c r="A6" s="1"/>
      <c r="B6" s="1"/>
      <c r="C6" s="1" t="s">
        <v>304</v>
      </c>
      <c r="D6" s="2" t="s">
        <v>305</v>
      </c>
      <c r="E6" s="2" t="s">
        <v>306</v>
      </c>
      <c r="F6" s="2" t="s">
        <v>307</v>
      </c>
      <c r="G6" s="2" t="s">
        <v>308</v>
      </c>
      <c r="H6" s="2"/>
      <c r="I6" s="1"/>
      <c r="J6" s="1" t="s">
        <v>309</v>
      </c>
      <c r="K6" s="1"/>
      <c r="L6" s="1"/>
    </row>
    <row r="7" spans="1:12" ht="19" customHeight="1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spans="1:12" ht="19" customHeight="1">
      <c r="A8" s="1"/>
      <c r="B8" s="1"/>
      <c r="C8" s="1" t="s">
        <v>135</v>
      </c>
      <c r="D8" s="39">
        <v>340.59</v>
      </c>
      <c r="E8" s="39">
        <v>529.04999999999995</v>
      </c>
      <c r="F8" s="39">
        <v>709.32</v>
      </c>
      <c r="G8" s="39">
        <v>250</v>
      </c>
      <c r="H8" s="2"/>
      <c r="I8" s="1"/>
      <c r="J8" s="1" t="s">
        <v>310</v>
      </c>
      <c r="K8" s="1"/>
      <c r="L8" s="1"/>
    </row>
    <row r="9" spans="1:12" ht="19" customHeight="1">
      <c r="A9" s="1"/>
      <c r="B9" s="1"/>
      <c r="C9" s="1" t="s">
        <v>294</v>
      </c>
      <c r="D9" s="11">
        <v>12230</v>
      </c>
      <c r="E9" s="11">
        <v>7427</v>
      </c>
      <c r="F9" s="11">
        <v>2543</v>
      </c>
      <c r="G9" s="11">
        <v>10783</v>
      </c>
      <c r="H9" s="2"/>
      <c r="I9" s="1"/>
      <c r="J9" s="1" t="s">
        <v>311</v>
      </c>
      <c r="K9" s="1"/>
      <c r="L9" s="1"/>
    </row>
    <row r="10" spans="1:12" ht="19" customHeight="1">
      <c r="A10" s="1"/>
      <c r="B10" s="1"/>
      <c r="C10" s="1" t="s">
        <v>312</v>
      </c>
      <c r="D10" s="2">
        <f>D8*D9</f>
        <v>4165415.6999999997</v>
      </c>
      <c r="E10" s="2">
        <f>E8*E9</f>
        <v>3929254.3499999996</v>
      </c>
      <c r="F10" s="2">
        <f>F8*F9</f>
        <v>1803800.7600000002</v>
      </c>
      <c r="G10" s="2">
        <f>G8*G9</f>
        <v>2695750</v>
      </c>
      <c r="H10" s="2"/>
      <c r="I10" s="1"/>
      <c r="J10" s="1"/>
      <c r="K10" s="1"/>
      <c r="L10" s="1"/>
    </row>
    <row r="11" spans="1:12" ht="19" customHeight="1">
      <c r="A11" s="1"/>
      <c r="B11" s="1"/>
      <c r="C11" s="1" t="s">
        <v>313</v>
      </c>
      <c r="D11" s="11">
        <v>55911</v>
      </c>
      <c r="E11" s="11">
        <v>20935</v>
      </c>
      <c r="F11" s="11">
        <v>15462</v>
      </c>
      <c r="G11" s="11">
        <v>78213</v>
      </c>
      <c r="H11" s="2"/>
      <c r="I11" s="1"/>
      <c r="J11" s="1" t="s">
        <v>314</v>
      </c>
      <c r="K11" s="1"/>
      <c r="L11" s="1"/>
    </row>
    <row r="12" spans="1:12" ht="19" customHeight="1">
      <c r="A12" s="1"/>
      <c r="B12" s="1"/>
      <c r="C12" s="1" t="s">
        <v>315</v>
      </c>
      <c r="D12" s="11">
        <v>186563</v>
      </c>
      <c r="E12" s="11">
        <v>55908</v>
      </c>
      <c r="F12" s="11">
        <v>74798</v>
      </c>
      <c r="G12" s="11">
        <v>44775</v>
      </c>
      <c r="H12" s="2"/>
      <c r="I12" s="1"/>
      <c r="J12" s="1" t="s">
        <v>314</v>
      </c>
      <c r="K12" s="1"/>
      <c r="L12" s="1"/>
    </row>
    <row r="13" spans="1:12" ht="19" customHeight="1">
      <c r="A13" s="1"/>
      <c r="B13" s="1"/>
      <c r="C13" s="1" t="s">
        <v>316</v>
      </c>
      <c r="D13" s="11">
        <v>98165</v>
      </c>
      <c r="E13" s="11">
        <v>31067</v>
      </c>
      <c r="F13" s="11">
        <v>83664</v>
      </c>
      <c r="G13" s="11">
        <v>128894</v>
      </c>
      <c r="H13" s="2"/>
      <c r="I13" s="1"/>
      <c r="J13" s="1" t="s">
        <v>317</v>
      </c>
      <c r="K13" s="1"/>
      <c r="L13" s="1"/>
    </row>
    <row r="14" spans="1:12" ht="19" customHeight="1">
      <c r="A14" s="1"/>
      <c r="B14" s="1"/>
      <c r="C14" s="1" t="s">
        <v>318</v>
      </c>
      <c r="D14" s="11">
        <v>1999</v>
      </c>
      <c r="E14" s="11">
        <v>9227</v>
      </c>
      <c r="F14" s="11">
        <v>0</v>
      </c>
      <c r="G14" s="11">
        <v>3330</v>
      </c>
      <c r="H14" s="2"/>
      <c r="I14" s="1"/>
      <c r="J14" s="1" t="s">
        <v>319</v>
      </c>
      <c r="K14" s="1"/>
      <c r="L14" s="1"/>
    </row>
    <row r="15" spans="1:12" ht="19" customHeight="1">
      <c r="A15" s="1"/>
      <c r="B15" s="1"/>
      <c r="C15" s="1" t="s">
        <v>320</v>
      </c>
      <c r="D15" s="11">
        <v>19250</v>
      </c>
      <c r="E15" s="11">
        <v>0</v>
      </c>
      <c r="F15" s="11">
        <v>0</v>
      </c>
      <c r="G15" s="11">
        <v>0</v>
      </c>
      <c r="H15" s="2"/>
      <c r="I15" s="1"/>
      <c r="J15" s="1" t="s">
        <v>321</v>
      </c>
      <c r="K15" s="1"/>
      <c r="L15" s="1"/>
    </row>
    <row r="16" spans="1:12" ht="19" customHeight="1">
      <c r="A16" s="1"/>
      <c r="B16" s="1"/>
      <c r="C16" s="1" t="s">
        <v>322</v>
      </c>
      <c r="D16" s="2">
        <f>D10+SUM(D13:D15)-SUM(D11:D12)</f>
        <v>4042355.6999999993</v>
      </c>
      <c r="E16" s="2">
        <f>E10+SUM(E13:E15)-SUM(E11:E12)</f>
        <v>3892705.3499999996</v>
      </c>
      <c r="F16" s="2">
        <f>F10+SUM(F13:F15)-SUM(F11:F12)</f>
        <v>1797204.7600000002</v>
      </c>
      <c r="G16" s="2">
        <f>G10+SUM(G13:G15)-SUM(G11:G12)</f>
        <v>2704986</v>
      </c>
      <c r="H16" s="2"/>
      <c r="I16" s="1"/>
      <c r="J16" s="1"/>
      <c r="K16" s="1"/>
      <c r="L16" s="1"/>
    </row>
    <row r="17" spans="1:12" ht="19" customHeight="1">
      <c r="A17" s="1"/>
      <c r="B17" s="1"/>
      <c r="C17" s="1"/>
      <c r="D17" s="2"/>
      <c r="E17" s="2"/>
      <c r="F17" s="2"/>
      <c r="G17" s="2"/>
      <c r="H17" s="2"/>
      <c r="I17" s="1"/>
      <c r="J17" s="1"/>
      <c r="K17" s="1"/>
      <c r="L17" s="1"/>
    </row>
    <row r="18" spans="1:12" ht="19" customHeight="1">
      <c r="A18" s="1"/>
      <c r="B18" s="1"/>
      <c r="C18" s="1"/>
      <c r="D18" s="2"/>
      <c r="E18" s="2"/>
      <c r="F18" s="2"/>
      <c r="G18" s="2"/>
      <c r="H18" s="2"/>
      <c r="I18" s="1"/>
      <c r="J18" s="1"/>
      <c r="K18" s="1"/>
      <c r="L18" s="1"/>
    </row>
    <row r="19" spans="1:12" ht="19" customHeight="1">
      <c r="A19" s="1"/>
      <c r="B19" s="1"/>
      <c r="C19" s="1"/>
      <c r="D19" s="2"/>
      <c r="E19" s="2"/>
      <c r="F19" s="2"/>
      <c r="G19" s="2"/>
      <c r="H19" s="2"/>
      <c r="I19" s="1"/>
      <c r="J19" s="1"/>
      <c r="K19" s="1"/>
      <c r="L19" s="1"/>
    </row>
    <row r="20" spans="1:12" ht="19" customHeight="1">
      <c r="A20" s="1"/>
      <c r="B20" s="1"/>
      <c r="C20" s="1" t="s">
        <v>323</v>
      </c>
      <c r="D20" s="11">
        <v>402836</v>
      </c>
      <c r="E20" s="2"/>
      <c r="F20" s="11">
        <v>200966</v>
      </c>
      <c r="G20" s="11">
        <v>716924</v>
      </c>
      <c r="H20" s="2"/>
      <c r="I20" s="1"/>
      <c r="J20" s="1" t="s">
        <v>324</v>
      </c>
      <c r="K20" s="1"/>
      <c r="L20" s="1"/>
    </row>
    <row r="21" spans="1:12" ht="19" customHeight="1">
      <c r="A21" s="1"/>
      <c r="B21" s="1"/>
      <c r="C21" s="1" t="s">
        <v>325</v>
      </c>
      <c r="D21" s="11">
        <v>186662</v>
      </c>
      <c r="E21" s="2"/>
      <c r="F21" s="11">
        <v>89830</v>
      </c>
      <c r="G21" s="11">
        <v>323369</v>
      </c>
      <c r="H21" s="2"/>
      <c r="I21" s="1"/>
      <c r="J21" s="1" t="s">
        <v>326</v>
      </c>
      <c r="K21" s="1"/>
      <c r="L21" s="1"/>
    </row>
    <row r="22" spans="1:12" ht="19" customHeight="1">
      <c r="A22" s="1"/>
      <c r="B22" s="1"/>
      <c r="C22" s="1" t="s">
        <v>327</v>
      </c>
      <c r="D22" s="11">
        <v>229692</v>
      </c>
      <c r="E22" s="2"/>
      <c r="F22" s="11">
        <v>117111</v>
      </c>
      <c r="G22" s="11">
        <v>382125</v>
      </c>
      <c r="H22" s="2"/>
      <c r="I22" s="1"/>
      <c r="J22" s="1" t="s">
        <v>328</v>
      </c>
      <c r="K22" s="1"/>
      <c r="L22" s="1"/>
    </row>
    <row r="23" spans="1:12" ht="19" customHeight="1">
      <c r="A23" s="1"/>
      <c r="B23" s="1"/>
      <c r="C23" s="1" t="s">
        <v>329</v>
      </c>
      <c r="D23" s="2">
        <f>D20-D21+D22</f>
        <v>445866</v>
      </c>
      <c r="E23" s="2">
        <f>E40</f>
        <v>331839</v>
      </c>
      <c r="F23" s="2">
        <f>F20-F21+F22</f>
        <v>228247</v>
      </c>
      <c r="G23" s="2">
        <f>G20-G21+G22</f>
        <v>775680</v>
      </c>
      <c r="H23" s="2"/>
      <c r="I23" s="1"/>
      <c r="J23" s="1"/>
      <c r="K23" s="1"/>
      <c r="L23" s="1"/>
    </row>
    <row r="24" spans="1:12" ht="19" customHeight="1">
      <c r="A24" s="1"/>
      <c r="B24" s="1"/>
      <c r="C24" s="1"/>
      <c r="D24" s="2"/>
      <c r="E24" s="2"/>
      <c r="F24" s="2"/>
      <c r="G24" s="2"/>
      <c r="H24" s="2"/>
      <c r="I24" s="1"/>
      <c r="J24" s="1"/>
      <c r="K24" s="1"/>
      <c r="L24" s="1"/>
    </row>
    <row r="25" spans="1:12" ht="19" customHeight="1">
      <c r="A25" s="1"/>
      <c r="B25" s="1"/>
      <c r="C25" s="1" t="s">
        <v>330</v>
      </c>
      <c r="D25" s="11">
        <v>129039</v>
      </c>
      <c r="E25" s="2"/>
      <c r="F25" s="11">
        <v>83276</v>
      </c>
      <c r="G25" s="11">
        <v>79975</v>
      </c>
      <c r="H25" s="2"/>
      <c r="I25" s="1"/>
      <c r="J25" s="1" t="s">
        <v>331</v>
      </c>
      <c r="K25" s="1"/>
      <c r="L25" s="1"/>
    </row>
    <row r="26" spans="1:12" ht="19" customHeight="1">
      <c r="A26" s="1"/>
      <c r="B26" s="1"/>
      <c r="C26" s="1" t="s">
        <v>332</v>
      </c>
      <c r="D26" s="11">
        <v>61877</v>
      </c>
      <c r="E26" s="2"/>
      <c r="F26" s="11">
        <v>37997</v>
      </c>
      <c r="G26" s="11">
        <v>37576</v>
      </c>
      <c r="H26" s="2"/>
      <c r="I26" s="1"/>
      <c r="J26" s="1" t="s">
        <v>333</v>
      </c>
      <c r="K26" s="1"/>
      <c r="L26" s="1"/>
    </row>
    <row r="27" spans="1:12" ht="19" customHeight="1">
      <c r="A27" s="1"/>
      <c r="B27" s="1"/>
      <c r="C27" s="1" t="s">
        <v>334</v>
      </c>
      <c r="D27" s="11">
        <v>80466</v>
      </c>
      <c r="E27" s="2"/>
      <c r="F27" s="11">
        <v>41647</v>
      </c>
      <c r="G27" s="11">
        <v>51313</v>
      </c>
      <c r="H27" s="2"/>
      <c r="I27" s="1"/>
      <c r="J27" s="1" t="s">
        <v>333</v>
      </c>
      <c r="K27" s="1"/>
      <c r="L27" s="1"/>
    </row>
    <row r="28" spans="1:12" ht="19" customHeight="1">
      <c r="A28" s="1"/>
      <c r="B28" s="1"/>
      <c r="C28" s="1" t="s">
        <v>335</v>
      </c>
      <c r="D28" s="2">
        <f>D25-D26+D27</f>
        <v>147628</v>
      </c>
      <c r="E28" s="2">
        <f>E41</f>
        <v>155237</v>
      </c>
      <c r="F28" s="2">
        <f>F25-F26+F27</f>
        <v>86926</v>
      </c>
      <c r="G28" s="2">
        <f>G25-G26+G27</f>
        <v>93712</v>
      </c>
      <c r="H28" s="2"/>
      <c r="I28" s="1"/>
      <c r="J28" s="1"/>
      <c r="K28" s="1"/>
      <c r="L28" s="1"/>
    </row>
    <row r="29" spans="1:12" ht="19" customHeight="1">
      <c r="A29" s="1"/>
      <c r="B29" s="1"/>
      <c r="C29" s="1"/>
      <c r="D29" s="2"/>
      <c r="E29" s="2"/>
      <c r="F29" s="2"/>
      <c r="G29" s="2"/>
      <c r="H29" s="2"/>
      <c r="I29" s="1"/>
      <c r="J29" s="1"/>
      <c r="K29" s="1"/>
      <c r="L29" s="1"/>
    </row>
    <row r="30" spans="1:12" ht="19" customHeight="1">
      <c r="A30" s="1"/>
      <c r="B30" s="1"/>
      <c r="C30" s="1" t="s">
        <v>336</v>
      </c>
      <c r="D30" s="11">
        <v>132170</v>
      </c>
      <c r="E30" s="2"/>
      <c r="F30" s="11">
        <v>60458</v>
      </c>
      <c r="G30" s="11">
        <v>77670</v>
      </c>
      <c r="H30" s="2"/>
      <c r="I30" s="1"/>
      <c r="J30" s="1" t="s">
        <v>337</v>
      </c>
      <c r="K30" s="1"/>
      <c r="L30" s="1"/>
    </row>
    <row r="31" spans="1:12" ht="19" customHeight="1">
      <c r="A31" s="1"/>
      <c r="B31" s="1"/>
      <c r="C31" s="1" t="s">
        <v>338</v>
      </c>
      <c r="D31" s="11">
        <v>62736</v>
      </c>
      <c r="E31" s="2"/>
      <c r="F31" s="11">
        <v>34981</v>
      </c>
      <c r="G31" s="11">
        <v>35291</v>
      </c>
      <c r="H31" s="2"/>
      <c r="I31" s="1"/>
      <c r="J31" s="1" t="s">
        <v>333</v>
      </c>
      <c r="K31" s="1"/>
      <c r="L31" s="1"/>
    </row>
    <row r="32" spans="1:12" ht="19" customHeight="1">
      <c r="A32" s="1"/>
      <c r="B32" s="1"/>
      <c r="C32" s="1" t="s">
        <v>339</v>
      </c>
      <c r="D32" s="11">
        <v>174685</v>
      </c>
      <c r="E32" s="2"/>
      <c r="F32" s="11">
        <v>42621</v>
      </c>
      <c r="G32" s="11">
        <v>92902</v>
      </c>
      <c r="H32" s="2"/>
      <c r="I32" s="1"/>
      <c r="J32" s="1" t="s">
        <v>340</v>
      </c>
      <c r="K32" s="1"/>
      <c r="L32" s="1"/>
    </row>
    <row r="33" spans="1:12" ht="19" customHeight="1">
      <c r="A33" s="1"/>
      <c r="B33" s="1"/>
      <c r="C33" s="1" t="s">
        <v>341</v>
      </c>
      <c r="D33" s="2">
        <f>D30-D31+D32</f>
        <v>244119</v>
      </c>
      <c r="E33" s="2">
        <f>E42</f>
        <v>133749</v>
      </c>
      <c r="F33" s="2">
        <f>F30-F31+F32</f>
        <v>68098</v>
      </c>
      <c r="G33" s="2">
        <f>G30-G31+G32</f>
        <v>135281</v>
      </c>
      <c r="H33" s="2"/>
      <c r="I33" s="1"/>
      <c r="J33" s="1"/>
      <c r="K33" s="1"/>
      <c r="L33" s="1"/>
    </row>
    <row r="34" spans="1:12" ht="19" customHeight="1">
      <c r="A34" s="1"/>
      <c r="B34" s="1"/>
      <c r="C34" s="1"/>
      <c r="D34" s="2"/>
      <c r="E34" s="2"/>
      <c r="F34" s="2"/>
      <c r="G34" s="2"/>
      <c r="H34" s="2"/>
      <c r="I34" s="1"/>
      <c r="J34" s="1"/>
      <c r="K34" s="1"/>
      <c r="L34" s="1"/>
    </row>
    <row r="35" spans="1:12" ht="19" customHeight="1">
      <c r="A35" s="1"/>
      <c r="B35" s="1"/>
      <c r="C35" s="1" t="s">
        <v>342</v>
      </c>
      <c r="D35" s="11">
        <v>21136</v>
      </c>
      <c r="E35" s="2"/>
      <c r="F35" s="11">
        <v>18000</v>
      </c>
      <c r="G35" s="11">
        <v>41860</v>
      </c>
      <c r="H35" s="2"/>
      <c r="I35" s="1"/>
      <c r="J35" s="1" t="s">
        <v>343</v>
      </c>
      <c r="K35" s="1"/>
      <c r="L35" s="1"/>
    </row>
    <row r="36" spans="1:12" ht="19" customHeight="1">
      <c r="A36" s="1"/>
      <c r="B36" s="1"/>
      <c r="C36" s="1" t="s">
        <v>344</v>
      </c>
      <c r="D36" s="11">
        <v>9485</v>
      </c>
      <c r="E36" s="2"/>
      <c r="F36" s="11">
        <v>8120</v>
      </c>
      <c r="G36" s="11">
        <v>18822</v>
      </c>
      <c r="H36" s="2"/>
      <c r="I36" s="1"/>
      <c r="J36" s="1" t="s">
        <v>345</v>
      </c>
      <c r="K36" s="1"/>
      <c r="L36" s="1"/>
    </row>
    <row r="37" spans="1:12" ht="19" customHeight="1">
      <c r="A37" s="1"/>
      <c r="B37" s="1"/>
      <c r="C37" s="1" t="s">
        <v>346</v>
      </c>
      <c r="D37" s="11">
        <v>13586</v>
      </c>
      <c r="E37" s="2"/>
      <c r="F37" s="11">
        <v>11670</v>
      </c>
      <c r="G37" s="11">
        <v>26703</v>
      </c>
      <c r="H37" s="2"/>
      <c r="I37" s="1"/>
      <c r="J37" s="1" t="s">
        <v>347</v>
      </c>
      <c r="K37" s="1"/>
      <c r="L37" s="1"/>
    </row>
    <row r="38" spans="1:12" ht="19" customHeight="1">
      <c r="A38" s="1"/>
      <c r="B38" s="1"/>
      <c r="C38" s="1" t="s">
        <v>348</v>
      </c>
      <c r="D38" s="2">
        <f>D35-D36+D37</f>
        <v>25237</v>
      </c>
      <c r="E38" s="2">
        <f>E43</f>
        <v>34300</v>
      </c>
      <c r="F38" s="2">
        <f>F35-F36+F37</f>
        <v>21550</v>
      </c>
      <c r="G38" s="2">
        <f>G35-G36+G37</f>
        <v>49741</v>
      </c>
      <c r="H38" s="2"/>
      <c r="I38" s="1"/>
      <c r="J38" s="1"/>
      <c r="K38" s="1"/>
      <c r="L38" s="1"/>
    </row>
    <row r="39" spans="1:12" ht="19" customHeight="1">
      <c r="A39" s="1"/>
      <c r="B39" s="1"/>
      <c r="C39" s="1"/>
      <c r="D39" s="2"/>
      <c r="E39" s="2"/>
      <c r="F39" s="2"/>
      <c r="G39" s="2"/>
      <c r="H39" s="2"/>
      <c r="I39" s="1"/>
      <c r="J39" s="1"/>
      <c r="K39" s="1"/>
      <c r="L39" s="1"/>
    </row>
    <row r="40" spans="1:12" ht="19" customHeight="1">
      <c r="A40" s="1"/>
      <c r="B40" s="1"/>
      <c r="C40" s="1" t="s">
        <v>349</v>
      </c>
      <c r="D40" s="2"/>
      <c r="E40" s="11">
        <v>331839</v>
      </c>
      <c r="F40" s="2"/>
      <c r="G40" s="2"/>
      <c r="H40" s="2"/>
      <c r="I40" s="1"/>
      <c r="J40" s="1" t="s">
        <v>350</v>
      </c>
      <c r="K40" s="1"/>
      <c r="L40" s="1"/>
    </row>
    <row r="41" spans="1:12" ht="19" customHeight="1">
      <c r="A41" s="1"/>
      <c r="B41" s="1"/>
      <c r="C41" s="1" t="s">
        <v>351</v>
      </c>
      <c r="D41" s="2"/>
      <c r="E41" s="11">
        <v>155237</v>
      </c>
      <c r="F41" s="2"/>
      <c r="G41" s="2"/>
      <c r="H41" s="2"/>
      <c r="I41" s="1"/>
      <c r="J41" s="1" t="s">
        <v>350</v>
      </c>
      <c r="K41" s="1"/>
      <c r="L41" s="1"/>
    </row>
    <row r="42" spans="1:12" ht="19" customHeight="1">
      <c r="A42" s="1"/>
      <c r="B42" s="1"/>
      <c r="C42" s="1" t="s">
        <v>352</v>
      </c>
      <c r="D42" s="2"/>
      <c r="E42" s="11">
        <v>133749</v>
      </c>
      <c r="F42" s="2"/>
      <c r="G42" s="2"/>
      <c r="H42" s="2"/>
      <c r="I42" s="1"/>
      <c r="J42" s="1" t="s">
        <v>353</v>
      </c>
      <c r="K42" s="1"/>
      <c r="L42" s="1"/>
    </row>
    <row r="43" spans="1:12" ht="19" customHeight="1">
      <c r="A43" s="1"/>
      <c r="B43" s="1"/>
      <c r="C43" s="1" t="s">
        <v>354</v>
      </c>
      <c r="D43" s="2"/>
      <c r="E43" s="11">
        <v>34300</v>
      </c>
      <c r="F43" s="2"/>
      <c r="G43" s="2"/>
      <c r="H43" s="2"/>
      <c r="I43" s="1"/>
      <c r="J43" s="1" t="s">
        <v>355</v>
      </c>
      <c r="K43" s="1"/>
      <c r="L43" s="1"/>
    </row>
    <row r="44" spans="1:12" ht="19" customHeight="1">
      <c r="A44" s="1"/>
      <c r="B44" s="1"/>
      <c r="C44" s="1"/>
      <c r="D44" s="2"/>
      <c r="E44" s="2"/>
      <c r="F44" s="2"/>
      <c r="G44" s="2"/>
      <c r="H44" s="2"/>
      <c r="I44" s="1"/>
      <c r="J44" s="1"/>
      <c r="K44" s="1"/>
      <c r="L44" s="1"/>
    </row>
    <row r="45" spans="1:12" ht="19" customHeight="1">
      <c r="A45" s="1"/>
      <c r="B45" s="1"/>
      <c r="C45" s="1" t="s">
        <v>356</v>
      </c>
      <c r="D45" s="2">
        <f>D28+D38</f>
        <v>172865</v>
      </c>
      <c r="E45" s="2">
        <f>E28+E38</f>
        <v>189537</v>
      </c>
      <c r="F45" s="2">
        <f>F28+F38</f>
        <v>108476</v>
      </c>
      <c r="G45" s="2">
        <f>G28+G38</f>
        <v>143453</v>
      </c>
      <c r="H45" s="2"/>
      <c r="I45" s="1"/>
      <c r="J45" s="1" t="s">
        <v>357</v>
      </c>
      <c r="K45" s="1"/>
      <c r="L45" s="1"/>
    </row>
    <row r="46" spans="1:12" ht="19" customHeight="1">
      <c r="A46" s="1"/>
      <c r="B46" s="1"/>
      <c r="C46" s="1"/>
      <c r="D46" s="2"/>
      <c r="E46" s="2"/>
      <c r="F46" s="2"/>
      <c r="G46" s="2"/>
      <c r="H46" s="2"/>
      <c r="I46" s="1"/>
      <c r="J46" s="1"/>
      <c r="K46" s="1"/>
      <c r="L46" s="1"/>
    </row>
    <row r="47" spans="1:12" ht="19" customHeight="1">
      <c r="A47" s="1"/>
      <c r="B47" s="1"/>
      <c r="C47" s="1" t="s">
        <v>358</v>
      </c>
      <c r="D47" s="40">
        <f>D10/D33</f>
        <v>17.063054084278569</v>
      </c>
      <c r="E47" s="40">
        <f>E10/E33</f>
        <v>29.377822264091691</v>
      </c>
      <c r="F47" s="40">
        <f>F10/F33</f>
        <v>26.488307439278689</v>
      </c>
      <c r="G47" s="40">
        <f>G10/G33</f>
        <v>19.927040752212061</v>
      </c>
      <c r="H47" s="2"/>
      <c r="I47" s="1"/>
      <c r="J47" s="1"/>
      <c r="K47" s="1"/>
      <c r="L47" s="1"/>
    </row>
    <row r="48" spans="1:12" ht="19" customHeight="1">
      <c r="A48" s="1"/>
      <c r="B48" s="1"/>
      <c r="C48" s="1" t="s">
        <v>145</v>
      </c>
      <c r="D48" s="40">
        <f>D8/D77</f>
        <v>22.333770491803278</v>
      </c>
      <c r="E48" s="40">
        <f>E8/E77</f>
        <v>24.324137931034482</v>
      </c>
      <c r="F48" s="40">
        <f>F8/F77</f>
        <v>20.482818365578979</v>
      </c>
      <c r="G48" s="40">
        <f>G8/G77</f>
        <v>23.923444976076556</v>
      </c>
      <c r="H48" s="2"/>
      <c r="I48" s="1"/>
      <c r="J48" s="1" t="s">
        <v>359</v>
      </c>
      <c r="K48" s="1"/>
      <c r="L48" s="1"/>
    </row>
    <row r="49" spans="1:12" ht="19" customHeight="1">
      <c r="A49" s="1"/>
      <c r="B49" s="1"/>
      <c r="C49" s="1" t="s">
        <v>360</v>
      </c>
      <c r="D49" s="40">
        <f>D16/D23</f>
        <v>9.0663017588243981</v>
      </c>
      <c r="E49" s="40">
        <f>E16/E23</f>
        <v>11.73070479961668</v>
      </c>
      <c r="F49" s="40">
        <f>F16/F23</f>
        <v>7.8739469083931013</v>
      </c>
      <c r="G49" s="40">
        <f>G16/G23</f>
        <v>3.4872447400990101</v>
      </c>
      <c r="H49" s="2"/>
      <c r="I49" s="1"/>
      <c r="J49" s="1"/>
      <c r="K49" s="1"/>
      <c r="L49" s="1"/>
    </row>
    <row r="50" spans="1:12" ht="19" customHeight="1">
      <c r="A50" s="1"/>
      <c r="B50" s="1"/>
      <c r="C50" s="1" t="s">
        <v>144</v>
      </c>
      <c r="D50" s="40">
        <f>D16/D45</f>
        <v>23.384465912706442</v>
      </c>
      <c r="E50" s="40">
        <f>E16/E45</f>
        <v>20.537970686462273</v>
      </c>
      <c r="F50" s="40">
        <f>F16/F45</f>
        <v>16.56776392934843</v>
      </c>
      <c r="G50" s="40">
        <f>G16/G45</f>
        <v>18.856252570528326</v>
      </c>
      <c r="H50" s="2"/>
      <c r="I50" s="1"/>
      <c r="J50" s="1"/>
      <c r="K50" s="1"/>
      <c r="L50" s="1"/>
    </row>
    <row r="51" spans="1:12" ht="19" customHeight="1">
      <c r="A51" s="1"/>
      <c r="B51" s="1"/>
      <c r="C51" s="1"/>
      <c r="D51" s="2"/>
      <c r="E51" s="2"/>
      <c r="F51" s="2"/>
      <c r="G51" s="2"/>
      <c r="H51" s="2"/>
      <c r="I51" s="1"/>
      <c r="J51" s="1"/>
      <c r="K51" s="1"/>
      <c r="L51" s="1"/>
    </row>
    <row r="52" spans="1:12" ht="19" customHeight="1">
      <c r="A52" s="1"/>
      <c r="B52" s="1"/>
      <c r="C52" s="1"/>
      <c r="D52" s="2"/>
      <c r="E52" s="2"/>
      <c r="F52" s="2"/>
      <c r="G52" s="2"/>
      <c r="H52" s="2"/>
      <c r="I52" s="1"/>
      <c r="J52" s="1"/>
      <c r="K52" s="1"/>
      <c r="L52" s="1"/>
    </row>
    <row r="53" spans="1:12" ht="19" customHeight="1">
      <c r="A53" s="1"/>
      <c r="B53" s="1"/>
      <c r="C53" s="1" t="s">
        <v>361</v>
      </c>
      <c r="D53" s="2" t="s">
        <v>137</v>
      </c>
      <c r="E53" s="2" t="s">
        <v>362</v>
      </c>
      <c r="F53" s="2" t="s">
        <v>139</v>
      </c>
      <c r="G53" s="2"/>
      <c r="H53" s="2"/>
      <c r="I53" s="1"/>
      <c r="J53" s="1" t="s">
        <v>363</v>
      </c>
      <c r="K53" s="1"/>
      <c r="L53" s="1"/>
    </row>
    <row r="54" spans="1:12" ht="19" customHeight="1">
      <c r="A54" s="1"/>
      <c r="B54" s="1"/>
      <c r="C54" s="1" t="s">
        <v>364</v>
      </c>
      <c r="D54" s="40">
        <f>MIN(E47:G47)</f>
        <v>19.927040752212061</v>
      </c>
      <c r="E54" s="40">
        <f>MEDIAN(E47:G47)</f>
        <v>26.488307439278689</v>
      </c>
      <c r="F54" s="40">
        <f>MAX(E47:G47)</f>
        <v>29.377822264091691</v>
      </c>
      <c r="G54" s="2"/>
      <c r="H54" s="2"/>
      <c r="I54" s="1"/>
      <c r="J54" s="1"/>
      <c r="K54" s="1"/>
      <c r="L54" s="1"/>
    </row>
    <row r="55" spans="1:12" ht="19" customHeight="1">
      <c r="A55" s="1"/>
      <c r="B55" s="1"/>
      <c r="C55" s="1" t="s">
        <v>365</v>
      </c>
      <c r="D55" s="40">
        <f>MIN(E49:G49)</f>
        <v>3.4872447400990101</v>
      </c>
      <c r="E55" s="40">
        <f>MEDIAN(E49:G49)</f>
        <v>7.8739469083931013</v>
      </c>
      <c r="F55" s="40">
        <f>MAX(E49:G49)</f>
        <v>11.73070479961668</v>
      </c>
      <c r="G55" s="2"/>
      <c r="H55" s="2"/>
      <c r="I55" s="1"/>
      <c r="J55" s="1"/>
      <c r="K55" s="1"/>
      <c r="L55" s="1"/>
    </row>
    <row r="56" spans="1:12" ht="19" customHeight="1">
      <c r="A56" s="1"/>
      <c r="B56" s="1"/>
      <c r="C56" s="1" t="s">
        <v>366</v>
      </c>
      <c r="D56" s="40">
        <f>MIN(E50:G50)</f>
        <v>16.56776392934843</v>
      </c>
      <c r="E56" s="40">
        <f>MEDIAN(E50:G50)</f>
        <v>18.856252570528326</v>
      </c>
      <c r="F56" s="40">
        <f>MAX(E50:G50)</f>
        <v>20.537970686462273</v>
      </c>
      <c r="G56" s="2"/>
      <c r="H56" s="2"/>
      <c r="I56" s="1"/>
      <c r="J56" s="1"/>
      <c r="K56" s="1"/>
      <c r="L56" s="1"/>
    </row>
    <row r="57" spans="1:12" ht="19" customHeight="1">
      <c r="A57" s="1"/>
      <c r="B57" s="1"/>
      <c r="C57" s="1" t="s">
        <v>145</v>
      </c>
      <c r="D57" s="40">
        <f>MIN(E48:G48)</f>
        <v>20.482818365578979</v>
      </c>
      <c r="E57" s="40">
        <f>MEDIAN(E48:G48)</f>
        <v>23.923444976076556</v>
      </c>
      <c r="F57" s="40">
        <f>MAX(E48:G48)</f>
        <v>24.324137931034482</v>
      </c>
      <c r="G57" s="2"/>
      <c r="H57" s="2"/>
      <c r="I57" s="1"/>
      <c r="J57" s="1"/>
      <c r="K57" s="1"/>
      <c r="L57" s="1"/>
    </row>
    <row r="58" spans="1:12" ht="19" customHeight="1">
      <c r="A58" s="1"/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</row>
    <row r="59" spans="1:12" ht="19" customHeight="1">
      <c r="A59" s="1"/>
      <c r="B59" s="1"/>
      <c r="C59" s="1" t="s">
        <v>367</v>
      </c>
      <c r="D59" s="29">
        <f>D54*$D$33/$D$9</f>
        <v>397.7570941446653</v>
      </c>
      <c r="E59" s="29">
        <f>E54*$D$33/$D$9</f>
        <v>528.72437643248361</v>
      </c>
      <c r="F59" s="29">
        <f>F54*$D$33/$D$9</f>
        <v>586.40102970464432</v>
      </c>
      <c r="G59" s="2"/>
      <c r="H59" s="2"/>
      <c r="I59" s="1"/>
      <c r="J59" s="1"/>
      <c r="K59" s="1"/>
      <c r="L59" s="1"/>
    </row>
    <row r="60" spans="1:12" ht="19" customHeight="1">
      <c r="A60" s="1"/>
      <c r="B60" s="1"/>
      <c r="C60" s="1" t="s">
        <v>368</v>
      </c>
      <c r="D60" s="36">
        <f>(D55*$D$23+DCF!$D$48)/$D$9</f>
        <v>133.9071842427625</v>
      </c>
      <c r="E60" s="36">
        <f>(E55*$D$23+DCF!$D$48)/$D$9</f>
        <v>293.83206968582164</v>
      </c>
      <c r="F60" s="36">
        <f>(F55*$D$23+DCF!$D$48)/$D$9</f>
        <v>434.4369113806942</v>
      </c>
      <c r="G60" s="2"/>
      <c r="H60" s="2"/>
      <c r="I60" s="1"/>
      <c r="J60" s="1"/>
      <c r="K60" s="1"/>
      <c r="L60" s="1"/>
    </row>
    <row r="61" spans="1:12" ht="19" customHeight="1">
      <c r="A61" s="1"/>
      <c r="B61" s="1"/>
      <c r="C61" s="1" t="s">
        <v>369</v>
      </c>
      <c r="D61" s="36">
        <f>(D56*$D$45+DCF!$D$48)/$D$9</f>
        <v>240.95073684765467</v>
      </c>
      <c r="E61" s="36">
        <f>(E56*$D$45+DCF!$D$48)/$D$9</f>
        <v>273.29739170927058</v>
      </c>
      <c r="F61" s="36">
        <f>(F56*$D$45+DCF!$D$48)/$D$9</f>
        <v>297.06764535693384</v>
      </c>
      <c r="G61" s="2"/>
      <c r="H61" s="2"/>
      <c r="I61" s="1"/>
      <c r="J61" s="1"/>
      <c r="K61" s="1"/>
      <c r="L61" s="1"/>
    </row>
    <row r="62" spans="1:12" ht="19" customHeight="1">
      <c r="A62" s="1"/>
      <c r="B62" s="1"/>
      <c r="C62" s="1" t="s">
        <v>370</v>
      </c>
      <c r="D62" s="29">
        <f>D57*$D$77</f>
        <v>312.36298007507941</v>
      </c>
      <c r="E62" s="29">
        <f>E57*$D$77</f>
        <v>364.83253588516749</v>
      </c>
      <c r="F62" s="29">
        <f>F57*$D$77</f>
        <v>370.94310344827585</v>
      </c>
      <c r="G62" s="2"/>
      <c r="H62" s="2"/>
      <c r="I62" s="1"/>
      <c r="J62" s="1"/>
      <c r="K62" s="1"/>
      <c r="L62" s="1"/>
    </row>
    <row r="63" spans="1:12" ht="19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</row>
    <row r="64" spans="1:12" ht="30" customHeight="1">
      <c r="A64" s="1"/>
      <c r="B64" s="1"/>
      <c r="C64" s="42" t="s">
        <v>371</v>
      </c>
      <c r="D64" s="43"/>
      <c r="E64" s="43"/>
      <c r="F64" s="43"/>
      <c r="G64" s="43"/>
      <c r="H64" s="43"/>
      <c r="I64" s="42"/>
      <c r="J64" s="42"/>
      <c r="K64" s="1"/>
      <c r="L64" s="1"/>
    </row>
    <row r="65" spans="1:12" ht="19" customHeight="1">
      <c r="A65" s="1"/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</row>
    <row r="66" spans="1:12" ht="30" customHeight="1">
      <c r="A66" s="1"/>
      <c r="B66" s="1"/>
      <c r="C66" s="42" t="s">
        <v>372</v>
      </c>
      <c r="D66" s="43"/>
      <c r="E66" s="43"/>
      <c r="F66" s="43"/>
      <c r="G66" s="43"/>
      <c r="H66" s="43"/>
      <c r="I66" s="42"/>
      <c r="J66" s="42"/>
      <c r="K66" s="1"/>
      <c r="L66" s="1"/>
    </row>
    <row r="67" spans="1:12" ht="19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</row>
    <row r="68" spans="1:12" ht="19" customHeight="1">
      <c r="A68" s="1"/>
      <c r="B68" s="1"/>
      <c r="C68" s="1"/>
      <c r="D68" s="2"/>
      <c r="E68" s="2"/>
      <c r="F68" s="2"/>
      <c r="G68" s="2"/>
      <c r="H68" s="2"/>
      <c r="I68" s="1"/>
      <c r="J68" s="1"/>
      <c r="K68" s="1"/>
      <c r="L68" s="1"/>
    </row>
    <row r="69" spans="1:12" ht="19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</row>
    <row r="70" spans="1:12" ht="19" customHeight="1">
      <c r="A70" s="1"/>
      <c r="B70" s="1"/>
      <c r="C70" s="1"/>
      <c r="D70" s="2"/>
      <c r="E70" s="2"/>
      <c r="F70" s="2"/>
      <c r="G70" s="2"/>
      <c r="H70" s="2"/>
      <c r="I70" s="1"/>
      <c r="J70" s="1"/>
      <c r="K70" s="1"/>
      <c r="L70" s="1"/>
    </row>
    <row r="71" spans="1:12" ht="19" customHeight="1">
      <c r="A71" s="1"/>
      <c r="B71" s="1"/>
      <c r="C71" s="1"/>
      <c r="D71" s="2"/>
      <c r="E71" s="2"/>
      <c r="F71" s="2"/>
      <c r="G71" s="2"/>
      <c r="H71" s="2"/>
      <c r="I71" s="1"/>
      <c r="J71" s="1"/>
      <c r="K71" s="1"/>
      <c r="L71" s="1"/>
    </row>
    <row r="72" spans="1:12" ht="19" customHeight="1">
      <c r="A72" s="1"/>
      <c r="B72" s="1"/>
      <c r="C72" s="9" t="s">
        <v>373</v>
      </c>
      <c r="D72" s="10" t="s">
        <v>305</v>
      </c>
      <c r="E72" s="10" t="s">
        <v>306</v>
      </c>
      <c r="F72" s="10" t="s">
        <v>307</v>
      </c>
      <c r="G72" s="10" t="s">
        <v>308</v>
      </c>
      <c r="H72" s="2"/>
      <c r="I72" s="1"/>
      <c r="J72" s="1" t="s">
        <v>374</v>
      </c>
      <c r="K72" s="1"/>
      <c r="L72" s="1"/>
    </row>
    <row r="73" spans="1:12" ht="19" customHeight="1">
      <c r="A73" s="1"/>
      <c r="B73" s="1"/>
      <c r="C73" s="1" t="s">
        <v>375</v>
      </c>
      <c r="D73" s="39">
        <v>15.25</v>
      </c>
      <c r="E73" s="39">
        <v>19.78</v>
      </c>
      <c r="F73" s="39">
        <v>34.630000000000003</v>
      </c>
      <c r="G73" s="39">
        <v>10.45</v>
      </c>
      <c r="H73" s="2"/>
      <c r="I73" s="1"/>
      <c r="J73" s="1"/>
      <c r="K73" s="1"/>
      <c r="L73" s="1"/>
    </row>
    <row r="74" spans="1:12" ht="19" customHeight="1">
      <c r="A74" s="1"/>
      <c r="B74" s="1"/>
      <c r="C74" s="1" t="s">
        <v>376</v>
      </c>
      <c r="D74" s="30">
        <v>46752</v>
      </c>
      <c r="E74" s="30">
        <v>46568</v>
      </c>
      <c r="F74" s="30">
        <v>46752</v>
      </c>
      <c r="G74" s="30">
        <v>46752</v>
      </c>
      <c r="H74" s="2"/>
      <c r="I74" s="1"/>
      <c r="J74" s="1"/>
      <c r="K74" s="1"/>
      <c r="L74" s="1"/>
    </row>
    <row r="75" spans="1:12" ht="19" customHeight="1">
      <c r="A75" s="1"/>
      <c r="B75" s="1"/>
      <c r="C75" s="1" t="s">
        <v>377</v>
      </c>
      <c r="D75" s="29"/>
      <c r="E75" s="39">
        <v>23.72</v>
      </c>
      <c r="F75" s="29"/>
      <c r="G75" s="29"/>
      <c r="H75" s="2"/>
      <c r="I75" s="1"/>
      <c r="J75" s="1"/>
      <c r="K75" s="1"/>
      <c r="L75" s="1"/>
    </row>
    <row r="76" spans="1:12" ht="19" customHeight="1">
      <c r="A76" s="1"/>
      <c r="B76" s="1"/>
      <c r="C76" s="1" t="s">
        <v>378</v>
      </c>
      <c r="D76" s="24">
        <v>1</v>
      </c>
      <c r="E76" s="24">
        <v>0.5</v>
      </c>
      <c r="F76" s="24">
        <v>1</v>
      </c>
      <c r="G76" s="24">
        <v>1</v>
      </c>
      <c r="H76" s="2"/>
      <c r="I76" s="1"/>
      <c r="J76" s="1"/>
      <c r="K76" s="1"/>
      <c r="L76" s="1"/>
    </row>
    <row r="77" spans="1:12" ht="19" customHeight="1">
      <c r="A77" s="1"/>
      <c r="B77" s="1"/>
      <c r="C77" s="14" t="s">
        <v>379</v>
      </c>
      <c r="D77" s="35">
        <f>D73</f>
        <v>15.25</v>
      </c>
      <c r="E77" s="35">
        <f>E73*E76+E75*(1-E76)</f>
        <v>21.75</v>
      </c>
      <c r="F77" s="35">
        <f>F73</f>
        <v>34.630000000000003</v>
      </c>
      <c r="G77" s="35">
        <f>G73</f>
        <v>10.45</v>
      </c>
      <c r="H77" s="16"/>
      <c r="I77" s="1"/>
      <c r="J77" s="1"/>
      <c r="K77" s="1"/>
      <c r="L77" s="1"/>
    </row>
    <row r="78" spans="1:12" ht="19" customHeight="1">
      <c r="A78" s="1"/>
      <c r="B78" s="1"/>
      <c r="C78" s="1" t="s">
        <v>380</v>
      </c>
      <c r="D78" s="30">
        <v>46311</v>
      </c>
      <c r="E78" s="30">
        <v>46311</v>
      </c>
      <c r="F78" s="30">
        <v>46311</v>
      </c>
      <c r="G78" s="30">
        <v>46311</v>
      </c>
      <c r="H78" s="2"/>
      <c r="I78" s="1"/>
      <c r="J78" s="1"/>
      <c r="K78" s="1"/>
      <c r="L78" s="1"/>
    </row>
    <row r="79" spans="1:12" ht="19" customHeight="1">
      <c r="A79" s="1"/>
      <c r="B79" s="1"/>
      <c r="C79" s="1"/>
      <c r="D79" s="2"/>
      <c r="E79" s="2"/>
      <c r="F79" s="2"/>
      <c r="G79" s="2"/>
      <c r="H79" s="2"/>
      <c r="I79" s="1"/>
      <c r="J79" s="1"/>
      <c r="K79" s="1"/>
      <c r="L79" s="1"/>
    </row>
    <row r="80" spans="1:12" ht="30" customHeight="1">
      <c r="A80" s="1"/>
      <c r="B80" s="1"/>
      <c r="C80" s="42" t="s">
        <v>381</v>
      </c>
      <c r="D80" s="43"/>
      <c r="E80" s="43"/>
      <c r="F80" s="43"/>
      <c r="G80" s="43"/>
      <c r="H80" s="43"/>
      <c r="I80" s="42"/>
      <c r="J80" s="42"/>
      <c r="K80" s="1"/>
      <c r="L80" s="1"/>
    </row>
    <row r="81" spans="1:12" ht="19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</row>
    <row r="82" spans="1:12" ht="30" customHeight="1">
      <c r="A82" s="1"/>
      <c r="B82" s="1"/>
      <c r="C82" s="42" t="s">
        <v>382</v>
      </c>
      <c r="D82" s="43"/>
      <c r="E82" s="43"/>
      <c r="F82" s="43"/>
      <c r="G82" s="43"/>
      <c r="H82" s="43"/>
      <c r="I82" s="42"/>
      <c r="J82" s="42"/>
      <c r="K82" s="1"/>
      <c r="L82" s="1"/>
    </row>
    <row r="83" spans="1:12" ht="19" customHeight="1">
      <c r="A83" s="1"/>
      <c r="B83" s="1"/>
      <c r="C83" s="1"/>
      <c r="D83" s="2"/>
      <c r="E83" s="2"/>
      <c r="F83" s="2"/>
      <c r="G83" s="2"/>
      <c r="H83" s="2"/>
      <c r="I83" s="1"/>
      <c r="J83" s="1"/>
      <c r="K83" s="1"/>
      <c r="L83" s="1"/>
    </row>
    <row r="84" spans="1:12" ht="19" customHeight="1">
      <c r="A84" s="1"/>
      <c r="B84" s="1"/>
      <c r="C84" s="9" t="s">
        <v>383</v>
      </c>
      <c r="D84" s="10" t="s">
        <v>305</v>
      </c>
      <c r="E84" s="10" t="s">
        <v>306</v>
      </c>
      <c r="F84" s="10" t="s">
        <v>307</v>
      </c>
      <c r="G84" s="10" t="s">
        <v>308</v>
      </c>
      <c r="H84" s="2"/>
      <c r="I84" s="1"/>
      <c r="J84" s="1" t="s">
        <v>384</v>
      </c>
      <c r="K84" s="1"/>
      <c r="L84" s="1"/>
    </row>
    <row r="85" spans="1:12" ht="19" customHeight="1">
      <c r="A85" s="1"/>
      <c r="B85" s="1"/>
      <c r="C85" s="1" t="s">
        <v>335</v>
      </c>
      <c r="D85" s="2">
        <f>D28</f>
        <v>147628</v>
      </c>
      <c r="E85" s="2">
        <f>E28</f>
        <v>155237</v>
      </c>
      <c r="F85" s="2">
        <f>F28</f>
        <v>86926</v>
      </c>
      <c r="G85" s="2">
        <f>G28</f>
        <v>93712</v>
      </c>
      <c r="H85" s="2"/>
      <c r="I85" s="1"/>
      <c r="J85" s="1"/>
      <c r="K85" s="1"/>
      <c r="L85" s="1"/>
    </row>
    <row r="86" spans="1:12" ht="19" customHeight="1">
      <c r="A86" s="1"/>
      <c r="B86" s="1"/>
      <c r="C86" s="1" t="s">
        <v>348</v>
      </c>
      <c r="D86" s="2">
        <f>D38</f>
        <v>25237</v>
      </c>
      <c r="E86" s="2">
        <f>E38</f>
        <v>34300</v>
      </c>
      <c r="F86" s="2">
        <f>F38</f>
        <v>21550</v>
      </c>
      <c r="G86" s="2">
        <f>G38</f>
        <v>49741</v>
      </c>
      <c r="H86" s="2"/>
      <c r="I86" s="1"/>
      <c r="J86" s="1"/>
      <c r="K86" s="1"/>
      <c r="L86" s="1"/>
    </row>
    <row r="87" spans="1:12" ht="19" customHeight="1">
      <c r="A87" s="1"/>
      <c r="B87" s="1"/>
      <c r="C87" s="14" t="s">
        <v>385</v>
      </c>
      <c r="D87" s="16">
        <f>D85+D86</f>
        <v>172865</v>
      </c>
      <c r="E87" s="16">
        <f>E85+E86</f>
        <v>189537</v>
      </c>
      <c r="F87" s="16">
        <f>F85+F86</f>
        <v>108476</v>
      </c>
      <c r="G87" s="16">
        <f>G85+G86</f>
        <v>143453</v>
      </c>
      <c r="H87" s="16"/>
      <c r="I87" s="1"/>
      <c r="J87" s="1"/>
      <c r="K87" s="1"/>
      <c r="L87" s="1"/>
    </row>
    <row r="88" spans="1:12" ht="19" customHeight="1">
      <c r="A88" s="1"/>
      <c r="B88" s="1"/>
      <c r="C88" s="1" t="s">
        <v>144</v>
      </c>
      <c r="D88" s="40">
        <f>D16/D87</f>
        <v>23.384465912706442</v>
      </c>
      <c r="E88" s="40">
        <f>E16/E87</f>
        <v>20.537970686462273</v>
      </c>
      <c r="F88" s="40">
        <f>F16/F87</f>
        <v>16.56776392934843</v>
      </c>
      <c r="G88" s="40">
        <f>G16/G87</f>
        <v>18.856252570528326</v>
      </c>
      <c r="H88" s="2"/>
      <c r="I88" s="1"/>
      <c r="J88" s="1"/>
      <c r="K88" s="1"/>
      <c r="L88" s="1"/>
    </row>
    <row r="89" spans="1:12" ht="19" customHeight="1">
      <c r="A89" s="1"/>
      <c r="B89" s="1"/>
      <c r="C89" s="1" t="s">
        <v>386</v>
      </c>
      <c r="D89" s="2">
        <f>D45-D87</f>
        <v>0</v>
      </c>
      <c r="E89" s="2">
        <f>E45-E87</f>
        <v>0</v>
      </c>
      <c r="F89" s="2">
        <f>F45-F87</f>
        <v>0</v>
      </c>
      <c r="G89" s="2">
        <f>G45-G87</f>
        <v>0</v>
      </c>
      <c r="H89" s="2"/>
      <c r="I89" s="1"/>
      <c r="J89" s="1"/>
      <c r="K89" s="1"/>
      <c r="L89" s="1"/>
    </row>
    <row r="90" spans="1:12" ht="19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</row>
    <row r="91" spans="1:12" ht="30" customHeight="1">
      <c r="A91" s="1"/>
      <c r="B91" s="1"/>
      <c r="C91" s="42" t="s">
        <v>387</v>
      </c>
      <c r="D91" s="43"/>
      <c r="E91" s="43"/>
      <c r="F91" s="43"/>
      <c r="G91" s="43"/>
      <c r="H91" s="43"/>
      <c r="I91" s="42"/>
      <c r="J91" s="42"/>
      <c r="K91" s="1"/>
      <c r="L91" s="1"/>
    </row>
    <row r="92" spans="1:12" ht="19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</row>
    <row r="93" spans="1:12" ht="30" customHeight="1">
      <c r="A93" s="1"/>
      <c r="B93" s="1"/>
      <c r="C93" s="42" t="s">
        <v>388</v>
      </c>
      <c r="D93" s="43"/>
      <c r="E93" s="43"/>
      <c r="F93" s="43"/>
      <c r="G93" s="43"/>
      <c r="H93" s="43"/>
      <c r="I93" s="42"/>
      <c r="J93" s="42"/>
      <c r="K93" s="1"/>
      <c r="L93" s="1"/>
    </row>
    <row r="94" spans="1:12" ht="19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</row>
    <row r="95" spans="1:12" ht="30" customHeight="1">
      <c r="A95" s="1"/>
      <c r="B95" s="1"/>
      <c r="C95" s="42" t="s">
        <v>389</v>
      </c>
      <c r="D95" s="43"/>
      <c r="E95" s="43"/>
      <c r="F95" s="43"/>
      <c r="G95" s="43"/>
      <c r="H95" s="43"/>
      <c r="I95" s="42"/>
      <c r="J95" s="42"/>
      <c r="K95" s="1"/>
      <c r="L95" s="1"/>
    </row>
    <row r="96" spans="1:12" ht="19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</row>
    <row r="97" spans="1:12" ht="19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</row>
    <row r="98" spans="1:12" ht="19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</row>
    <row r="99" spans="1:12" ht="19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</row>
    <row r="100" spans="1:12" ht="19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</row>
    <row r="101" spans="1:12" ht="19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</row>
    <row r="102" spans="1:12" ht="19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</row>
    <row r="103" spans="1:12" ht="19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</row>
    <row r="104" spans="1:12" ht="19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</row>
    <row r="105" spans="1:12" ht="19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</row>
    <row r="106" spans="1:12" ht="19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</row>
    <row r="107" spans="1:12" ht="19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</row>
    <row r="108" spans="1:12" ht="19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</row>
    <row r="109" spans="1:12" ht="19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</row>
    <row r="110" spans="1:12" ht="19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</row>
    <row r="111" spans="1:12" ht="19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</row>
    <row r="112" spans="1:12" ht="19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</row>
    <row r="113" spans="1:12" ht="19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</row>
    <row r="114" spans="1:12" ht="19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</row>
    <row r="115" spans="1:12" ht="19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</row>
    <row r="116" spans="1:12" ht="19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</row>
    <row r="117" spans="1:12" ht="19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</row>
    <row r="118" spans="1:12" ht="19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</row>
    <row r="119" spans="1:12" ht="19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</row>
    <row r="120" spans="1:12" ht="19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</row>
    <row r="121" spans="1:12" ht="19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</row>
    <row r="122" spans="1:12" ht="19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</row>
    <row r="123" spans="1:12" ht="19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</row>
    <row r="124" spans="1:12" ht="19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</row>
    <row r="125" spans="1:12" ht="19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</row>
    <row r="126" spans="1:12" ht="19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</row>
    <row r="127" spans="1:12" ht="19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</row>
    <row r="128" spans="1:12" ht="19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</row>
    <row r="129" spans="1:12" ht="19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</row>
    <row r="130" spans="1:12" ht="19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</row>
    <row r="131" spans="1:12" ht="19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</row>
    <row r="132" spans="1:12" ht="19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</row>
    <row r="133" spans="1:12" ht="19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</row>
    <row r="134" spans="1:12" ht="19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</row>
    <row r="135" spans="1:12" ht="19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</row>
    <row r="136" spans="1:12" ht="19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</row>
    <row r="137" spans="1:12" ht="19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</row>
    <row r="138" spans="1:12" ht="19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</row>
    <row r="139" spans="1:12" ht="19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</row>
    <row r="140" spans="1:12" ht="19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</row>
    <row r="141" spans="1:12" ht="19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</row>
    <row r="142" spans="1:12" ht="19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</row>
    <row r="143" spans="1:12" ht="19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</row>
    <row r="144" spans="1:12" ht="19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</row>
    <row r="145" spans="1:12" ht="19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</row>
    <row r="146" spans="1:12" ht="19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</row>
    <row r="147" spans="1:12" ht="19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</row>
    <row r="148" spans="1:12" ht="19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</row>
    <row r="149" spans="1:12" ht="19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</row>
    <row r="150" spans="1:12" ht="19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</row>
    <row r="151" spans="1:12" ht="19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</row>
    <row r="152" spans="1:12" ht="19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</row>
    <row r="153" spans="1:12" ht="19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</row>
    <row r="154" spans="1:12" ht="19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</row>
    <row r="155" spans="1:12" ht="19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</row>
    <row r="156" spans="1:12" ht="19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</row>
    <row r="157" spans="1:12" ht="19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</row>
    <row r="158" spans="1:12" ht="19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</row>
    <row r="159" spans="1:12" ht="19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</row>
    <row r="160" spans="1:12" ht="19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</row>
    <row r="161" spans="1:12" ht="19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</row>
    <row r="162" spans="1:12" ht="19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</row>
    <row r="163" spans="1:12" ht="19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</row>
    <row r="164" spans="1:12" ht="19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</row>
    <row r="165" spans="1:12" ht="19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</row>
    <row r="166" spans="1:12" ht="19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</row>
    <row r="167" spans="1:12" ht="19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</row>
    <row r="168" spans="1:12" ht="19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</row>
    <row r="169" spans="1:12" ht="19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</row>
    <row r="170" spans="1:12" ht="19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</row>
    <row r="171" spans="1:12" ht="19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</row>
    <row r="172" spans="1:12" ht="19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</row>
    <row r="173" spans="1:12" ht="19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</row>
    <row r="174" spans="1:12" ht="19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</row>
    <row r="175" spans="1:12" ht="19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</row>
    <row r="176" spans="1:12" ht="19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</row>
    <row r="177" spans="1:12" ht="19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</row>
    <row r="178" spans="1:12" ht="19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</row>
    <row r="179" spans="1:12" ht="19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</row>
    <row r="180" spans="1:12" ht="19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</row>
    <row r="181" spans="1:12" ht="19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</row>
    <row r="182" spans="1:12" ht="19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</row>
    <row r="183" spans="1:12" ht="19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</row>
    <row r="184" spans="1:12" ht="19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</row>
    <row r="185" spans="1:12" ht="19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</row>
    <row r="186" spans="1:12" ht="19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</row>
    <row r="187" spans="1:12" ht="19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</row>
    <row r="188" spans="1:12" ht="19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</row>
    <row r="189" spans="1:12" ht="19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</row>
    <row r="190" spans="1:12" ht="19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</row>
  </sheetData>
  <mergeCells count="7">
    <mergeCell ref="C93:J93"/>
    <mergeCell ref="C95:J95"/>
    <mergeCell ref="C64:J64"/>
    <mergeCell ref="C66:J66"/>
    <mergeCell ref="C80:J80"/>
    <mergeCell ref="C82:J82"/>
    <mergeCell ref="C91:J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Assumptions</vt:lpstr>
      <vt:lpstr>Summary</vt:lpstr>
      <vt:lpstr>Historicals</vt:lpstr>
      <vt:lpstr>Projections</vt:lpstr>
      <vt:lpstr>DCF</vt:lpstr>
      <vt:lpstr>Sensitivity</vt:lpstr>
      <vt:lpstr>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Minha Hwang</cp:lastModifiedBy>
  <dcterms:modified xsi:type="dcterms:W3CDTF">2026-10-17T18:54:47Z</dcterms:modified>
</cp:coreProperties>
</file>