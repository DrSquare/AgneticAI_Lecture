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Summary" sheetId="3" state="visible" r:id="rId5"/>
    <sheet name="Historicals" sheetId="4" state="visible" r:id="rId6"/>
    <sheet name="Projections" sheetId="5" state="visible" r:id="rId7"/>
    <sheet name="DCF" sheetId="6" state="visible" r:id="rId8"/>
    <sheet name="Sensitivity" sheetId="7" state="visible" r:id="rId9"/>
    <sheet name="Multipl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<sst xmlns="http://schemas.openxmlformats.org/spreadsheetml/2006/main" count="252" uniqueCount="223">
  <si>
    <t xml:space="preserve">Alphabet (GOOGL) — DCF &amp; multiples valuation model</t>
  </si>
  <si>
    <t xml:space="preserve">Purpose: teaching demo (Demo 3, 'Agentic AI: Define-Design-Build'). Not investment advice.</t>
  </si>
  <si>
    <t xml:space="preserve">Units: $ millions unless stated; per-share values in $. Valuation date and price on 'Assumptions'.</t>
  </si>
  <si>
    <t xml:space="preserve">Colour legend</t>
  </si>
  <si>
    <t xml:space="preserve">  Blue text = hardcoded input you can change · Black = formula · Green = link to another sheet · Yellow fill = key assumption</t>
  </si>
  <si>
    <t xml:space="preserve">Sheets</t>
  </si>
  <si>
    <t xml:space="preserve">  Assumptions — market data, WACC inputs, terminal value inputs, and 2026–2030 drivers by segment</t>
  </si>
  <si>
    <t xml:space="preserve">  Historicals — FY2023–FY2025 actuals, H1 2026 and Q2 2026 (sourced)</t>
  </si>
  <si>
    <t xml:space="preserve">  Projections — segment revenue, EBIT, NOPAT, D&amp;A, capex and unlevered free cash flow, 2026E–2030E</t>
  </si>
  <si>
    <t xml:space="preserve">  DCF — WACC build, stub-period discounting (mid-year), terminal value, equity value per share</t>
  </si>
  <si>
    <t xml:space="preserve">  Sensitivity — price per share across WACC × terminal growth (live formulas)</t>
  </si>
  <si>
    <t xml:space="preserve">  Multiples — peer P/E, EV/Sales, EV/EBITDA (MSFT, META, AMZN) and implied GOOGL value</t>
  </si>
  <si>
    <t xml:space="preserve">  Summary — valuation range by method vs. current price</t>
  </si>
  <si>
    <t xml:space="preserve">Sources</t>
  </si>
  <si>
    <t xml:space="preserve">  FY2025 &amp; FY2024: Alphabet Q4 2025 earnings release (Form 8-K, Ex. 99.1), https://www.sec.gov/Archives/edgar/data/1652044/000165204426000012/googexhibit991q42025.htm</t>
  </si>
  <si>
    <t xml:space="preserve">  Q1–Q3 2025 revenue by type: Alphabet quarterly earnings releases (Q3 2025: https://s206.q4cdn.com/479360582/files/doc_financials/2025/q3/2025q3-alphabet-earnings-release.pdf)</t>
  </si>
  <si>
    <t xml:space="preserve">  H1 &amp; Q2 2026: Alphabet Q2 2026 earnings release (Form 8-K, 22 Jul 2026)</t>
  </si>
  <si>
    <t xml:space="preserve">  FY2023: Alphabet FY2023 Form 10-K / Q4 2023 earnings release</t>
  </si>
  <si>
    <t xml:space="preserve">  2026 capex guidance $195–205B and Cloud backlog $514B: Q2 2026 earnings call coverage (BigGo Finance, 22 Jul 2026)</t>
  </si>
  <si>
    <t xml:space="preserve">  Market data &amp; peer multiples: StockAnalysis.com statistics pages, close of 16 Oct 2026</t>
  </si>
  <si>
    <t xml:space="preserve">Key caveats</t>
  </si>
  <si>
    <t xml:space="preserve">  • Free cash flow does not add back stock-based compensation (treated as a real cost).</t>
  </si>
  <si>
    <t xml:space="preserve">  • Non-marketable equity stakes (which produced a $99B gain in Q2 2026) are NOT valued separately — potential upside.</t>
  </si>
  <si>
    <t xml:space="preserve">  • June 2026 mandatory convertible preferred is not added to the share count; dilution on conversion is a downside.</t>
  </si>
  <si>
    <t xml:space="preserve">  • Risk-free rate and ERP are analyst inputs — update to current market levels before use.</t>
  </si>
  <si>
    <t xml:space="preserve">Assumptions &amp; drivers</t>
  </si>
  <si>
    <t xml:space="preserve">Edit blue cells. Yellow = key assumptions.</t>
  </si>
  <si>
    <t xml:space="preserve">Market data</t>
  </si>
  <si>
    <t xml:space="preserve">Valuation date</t>
  </si>
  <si>
    <t xml:space="preserve">Model date</t>
  </si>
  <si>
    <t xml:space="preserve">Share price ($)</t>
  </si>
  <si>
    <t xml:space="preserve">GOOGL close, 16 Oct 2026 (StockAnalysis.com)</t>
  </si>
  <si>
    <t xml:space="preserve">Shares outstanding (mm)</t>
  </si>
  <si>
    <t xml:space="preserve">Class A+B+C at 30 Jun 2026 (Q2 2026 8-K)</t>
  </si>
  <si>
    <t xml:space="preserve">Cash &amp; marketable securities ($mm)</t>
  </si>
  <si>
    <t xml:space="preserve">30 Jun 2026 (Q2 2026 8-K)</t>
  </si>
  <si>
    <t xml:space="preserve">Long-term debt ($mm)</t>
  </si>
  <si>
    <t xml:space="preserve">30 Jun 2026 (Q2 2026 8-K); excludes lease liabilities</t>
  </si>
  <si>
    <t xml:space="preserve">WACC inputs</t>
  </si>
  <si>
    <t xml:space="preserve">Risk-free rate</t>
  </si>
  <si>
    <t xml:space="preserve">Analyst input — approx. 10-yr US Treasury; update before use</t>
  </si>
  <si>
    <t xml:space="preserve">Equity beta (5-yr)</t>
  </si>
  <si>
    <t xml:space="preserve">StockAnalysis.com, 16 Oct 2026</t>
  </si>
  <si>
    <t xml:space="preserve">Equity risk premium</t>
  </si>
  <si>
    <t xml:space="preserve">Analyst input</t>
  </si>
  <si>
    <t xml:space="preserve">Pre-tax cost of debt</t>
  </si>
  <si>
    <t xml:space="preserve">Analyst input (high-grade corporate yield)</t>
  </si>
  <si>
    <t xml:space="preserve">Tax rate</t>
  </si>
  <si>
    <t xml:space="preserve">FY2025 effective rate 16.8% (26,656 / 158,826)</t>
  </si>
  <si>
    <t xml:space="preserve">Terminal value</t>
  </si>
  <si>
    <t xml:space="preserve">Terminal growth (g)</t>
  </si>
  <si>
    <t xml:space="preserve">Terminal capex ÷ D&amp;A</t>
  </si>
  <si>
    <t xml:space="preserve">Steady-state reinvestment: capex normalises to 1.1× depreciation after the AI build-out</t>
  </si>
  <si>
    <t xml:space="preserve">Stub: fraction of 2026 remaining</t>
  </si>
  <si>
    <t xml:space="preserve">Only this share of 2026E FCF is counted</t>
  </si>
  <si>
    <t xml:space="preserve">Driver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</si>
  <si>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</si>
  <si>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</si>
  <si>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</si>
  <si>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</si>
  <si>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</si>
  <si>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Rationale</t>
  </si>
  <si>
    <t xml:space="preserve">Search &amp; other — growth</t>
  </si>
  <si>
    <t xml:space="preserve">Q2 2026 +16.8% YoY (63,271 vs 54,190); decelerates</t>
  </si>
  <si>
    <t xml:space="preserve">YouTube ads — growth</t>
  </si>
  <si>
    <t xml:space="preserve">Q2 2026 +12.9% YoY</t>
  </si>
  <si>
    <t xml:space="preserve">Google Network — growth</t>
  </si>
  <si>
    <t xml:space="preserve">Q2 2026 −0.7% YoY; secular decline</t>
  </si>
  <si>
    <t xml:space="preserve">Subscriptions, platforms &amp; devices — growth</t>
  </si>
  <si>
    <t xml:space="preserve">Q2 2026 +15.2% YoY</t>
  </si>
  <si>
    <t xml:space="preserve">Google Cloud — growth</t>
  </si>
  <si>
    <t xml:space="preserve">Q2 2026 +82% YoY; backlog $514B, ~half recognised within 24 months</t>
  </si>
  <si>
    <t xml:space="preserve">Other Bets — growth</t>
  </si>
  <si>
    <t xml:space="preserve">Small; Q2 2026 +2.4%</t>
  </si>
  <si>
    <t xml:space="preserve">EBIT margin</t>
  </si>
  <si>
    <t xml:space="preserve">H1 2026 35.0% (80,466 / 229,692); depreciation from AI capex weighs in 2027</t>
  </si>
  <si>
    <t xml:space="preserve">D&amp;A % of revenue</t>
  </si>
  <si>
    <t xml:space="preserve">FY2025 5.2%; rises as $195–205B 2026 capex is depreciated</t>
  </si>
  <si>
    <t xml:space="preserve">Capex % of revenue</t>
  </si>
  <si>
    <t xml:space="preserve">2026 ≈ $200B = guidance midpoint ($195–205B); 2027 'significantly' higher; then normalises</t>
  </si>
  <si>
    <t xml:space="preserve">Change in NWC % of change in revenue</t>
  </si>
  <si>
    <t xml:space="preserve">Low working-capital needs</t>
  </si>
  <si>
    <t xml:space="preserve">Valuation summary — Alphabet (GOOGL), $ per share</t>
  </si>
  <si>
    <t xml:space="preserve">Method</t>
  </si>
  <si>
    <t xml:space="preserve">Low</t>
  </si>
  <si>
    <t xml:space="preserve">Base / median</t>
  </si>
  <si>
    <t xml:space="preserve">High</t>
  </si>
  <si>
    <t xml:space="preserve">vs. price (base)</t>
  </si>
  <si>
    <t xml:space="preserve">DCF (WACC 9–10%, g 2.5–3.5%)</t>
  </si>
  <si>
    <t xml:space="preserve">EV / Sales — peers</t>
  </si>
  <si>
    <t xml:space="preserve">EV / EBITDA — peers</t>
  </si>
  <si>
    <t xml:space="preserve">Forward P/E — peers</t>
  </si>
  <si>
    <t xml:space="preserve">Current share price</t>
  </si>
  <si>
    <t xml:space="preserve">Blended base (average of 4 methods)</t>
  </si>
  <si>
    <t xml:space="preserve">Blended vs. price</t>
  </si>
  <si>
    <t xml:space="preserve">DCF low = WACC 10.0% &amp; g 2.5%; high = WACC 9.0% &amp; g 3.5% (Sensitivity grid), around the ~9.5% base WACC. Multiples: low/median/high peer multiple.</t>
  </si>
  <si>
    <t xml:space="preserve">Historical financials ($mm)</t>
  </si>
  <si>
    <t xml:space="preserve">Blue = reported figures. FY2025 revenue by type = sum of Q1–Q4 2025 releases.</t>
  </si>
  <si>
    <t xml:space="preserve">Line item</t>
  </si>
  <si>
    <t xml:space="preserve">FY2023</t>
  </si>
  <si>
    <t xml:space="preserve">FY2024</t>
  </si>
  <si>
    <t xml:space="preserve">FY2025</t>
  </si>
  <si>
    <t xml:space="preserve">H1 2026</t>
  </si>
  <si>
    <t xml:space="preserve">Q2 2026</t>
  </si>
  <si>
    <t xml:space="preserve">Google Search &amp; other</t>
  </si>
  <si>
    <t xml:space="preserve">YouTube ads</t>
  </si>
  <si>
    <t xml:space="preserve">Google Network</t>
  </si>
  <si>
    <t xml:space="preserve">Subscriptions, platforms &amp; devices</t>
  </si>
  <si>
    <t xml:space="preserve">Google Cloud</t>
  </si>
  <si>
    <t xml:space="preserve">Other Bets</t>
  </si>
  <si>
    <t xml:space="preserve">Hedging gains (losses)</t>
  </si>
  <si>
    <t xml:space="preserve">Total revenues</t>
  </si>
  <si>
    <t xml:space="preserve">  Revenue growth</t>
  </si>
  <si>
    <t xml:space="preserve">Cost of revenues</t>
  </si>
  <si>
    <t xml:space="preserve">Research &amp; development</t>
  </si>
  <si>
    <t xml:space="preserve">Sales &amp; marketing</t>
  </si>
  <si>
    <t xml:space="preserve">General &amp; administrative</t>
  </si>
  <si>
    <t xml:space="preserve">Operating income</t>
  </si>
  <si>
    <t xml:space="preserve">  Operating margin</t>
  </si>
  <si>
    <t xml:space="preserve">  Check: reported operating income</t>
  </si>
  <si>
    <t xml:space="preserve">Other income (expense), net</t>
  </si>
  <si>
    <t xml:space="preserve">Income before taxes</t>
  </si>
  <si>
    <t xml:space="preserve">Provision for income taxes</t>
  </si>
  <si>
    <t xml:space="preserve">Net income</t>
  </si>
  <si>
    <t xml:space="preserve">H1/Q2 2026 include a $99.0B gain on equity securities in Q2</t>
  </si>
  <si>
    <t xml:space="preserve">  Effective tax rate</t>
  </si>
  <si>
    <t xml:space="preserve">Diluted EPS ($)</t>
  </si>
  <si>
    <t xml:space="preserve">Cash flow</t>
  </si>
  <si>
    <t xml:space="preserve">Depreciation of property &amp; equipment</t>
  </si>
  <si>
    <t xml:space="preserve">Stock-based compensation</t>
  </si>
  <si>
    <t xml:space="preserve">Net cash from operating activities</t>
  </si>
  <si>
    <t xml:space="preserve">Purchases of property &amp; equipment (capex)</t>
  </si>
  <si>
    <t xml:space="preserve">Free cash flow (OCF − capex)</t>
  </si>
  <si>
    <t xml:space="preserve">  Capex % of revenue</t>
  </si>
  <si>
    <t xml:space="preserve">  D&amp;A % of revenue</t>
  </si>
  <si>
    <t xml:space="preserve">Balance sheet (period end)</t>
  </si>
  <si>
    <t xml:space="preserve">Cash, equivalents &amp; marketable securities</t>
  </si>
  <si>
    <t xml:space="preserve">Long-term debt</t>
  </si>
  <si>
    <t xml:space="preserve">Sources: FY2024–FY2025 from Q4 2025 release (8-K Ex. 99.1); FY2023 from FY2023 10-K; H1/Q2 2026 from Q2 2026 release (8-K, 22 Jul 2026). Q2 2026 hedging = total less segments.</t>
  </si>
  <si>
    <t xml:space="preserve">Projections ($mm)</t>
  </si>
  <si>
    <t xml:space="preserve">Formulas only — change drivers on 'Assumptions'.</t>
  </si>
  <si>
    <t xml:space="preserve">FY2025A</t>
  </si>
  <si>
    <t xml:space="preserve">  Growth</t>
  </si>
  <si>
    <t xml:space="preserve">  Cloud share of revenue</t>
  </si>
  <si>
    <t xml:space="preserve">EBIT</t>
  </si>
  <si>
    <t xml:space="preserve">  EBIT margin</t>
  </si>
  <si>
    <t xml:space="preserve">Taxes on EBIT</t>
  </si>
  <si>
    <t xml:space="preserve">NOPAT</t>
  </si>
  <si>
    <t xml:space="preserve">Plus: D&amp;A</t>
  </si>
  <si>
    <t xml:space="preserve">Less: capex</t>
  </si>
  <si>
    <t xml:space="preserve">Less: increase in NWC</t>
  </si>
  <si>
    <t xml:space="preserve">Unlevered free cash flow</t>
  </si>
  <si>
    <t xml:space="preserve">Memo: capex ($B) vs. 2026 guidance $195–205B</t>
  </si>
  <si>
    <t xml:space="preserve">Memo: operating EPS (NOPAT ÷ shares, $)</t>
  </si>
  <si>
    <t xml:space="preserve">Discounted cash flow</t>
  </si>
  <si>
    <t xml:space="preserve">WACC</t>
  </si>
  <si>
    <t xml:space="preserve">Cost of equity (CAPM)</t>
  </si>
  <si>
    <t xml:space="preserve">After-tax cost of debt</t>
  </si>
  <si>
    <t xml:space="preserve">Market value of equity ($mm)</t>
  </si>
  <si>
    <t xml:space="preserve">Debt ($mm)</t>
  </si>
  <si>
    <t xml:space="preserve">Equity weight</t>
  </si>
  <si>
    <t xml:space="preserve">Debt weight</t>
  </si>
  <si>
    <t xml:space="preserve">Discounting</t>
  </si>
  <si>
    <t xml:space="preserve">Unlevered FCF ($mm)</t>
  </si>
  <si>
    <t xml:space="preserve">Share of year counted</t>
  </si>
  <si>
    <t xml:space="preserve">FCF counted ($mm)</t>
  </si>
  <si>
    <t xml:space="preserve">Discount period (years, mid-period)</t>
  </si>
  <si>
    <t xml:space="preserve">Discount factor</t>
  </si>
  <si>
    <t xml:space="preserve">Present value ($mm)</t>
  </si>
  <si>
    <t xml:space="preserve">Terminal-year NOPAT (2030 × (1+g))</t>
  </si>
  <si>
    <t xml:space="preserve">Terminal-year D&amp;A</t>
  </si>
  <si>
    <t xml:space="preserve">Terminal capex (D&amp;A × ratio)</t>
  </si>
  <si>
    <t xml:space="preserve">Terminal increase in NWC</t>
  </si>
  <si>
    <t xml:space="preserve">Terminal FCF</t>
  </si>
  <si>
    <t xml:space="preserve">Terminal value at end-2030 (Gordon growth)</t>
  </si>
  <si>
    <t xml:space="preserve">Years to end-2030</t>
  </si>
  <si>
    <t xml:space="preserve">PV of terminal value</t>
  </si>
  <si>
    <t xml:space="preserve">Valuation</t>
  </si>
  <si>
    <t xml:space="preserve">Sum of PV of FCF (2026 stub–2030)</t>
  </si>
  <si>
    <t xml:space="preserve">Enterprise value</t>
  </si>
  <si>
    <t xml:space="preserve">Plus: cash &amp; marketable securities</t>
  </si>
  <si>
    <t xml:space="preserve">Less: debt</t>
  </si>
  <si>
    <t xml:space="preserve">Equity value</t>
  </si>
  <si>
    <t xml:space="preserve">Implied value per share ($)</t>
  </si>
  <si>
    <t xml:space="preserve">Current share price ($)</t>
  </si>
  <si>
    <t xml:space="preserve">Upside / (downside)</t>
  </si>
  <si>
    <t xml:space="preserve">Terminal value % of EV</t>
  </si>
  <si>
    <t xml:space="preserve">Implied EV / 2027E EBITDA</t>
  </si>
  <si>
    <t xml:space="preserve">Read-across: if implied value is below the price, the market is pricing faster Cloud growth, higher terminal margins or lower long-run capex than the base case — test them on 'Sensitivity'.</t>
  </si>
  <si>
    <t xml:space="preserve">Implied value per share ($): WACC × terminal growth</t>
  </si>
  <si>
    <t xml:space="preserve">Each cell recomputes the full DCF with live formulas. Base case highlighted.</t>
  </si>
  <si>
    <t xml:space="preserve">WACC ↓ / g →</t>
  </si>
  <si>
    <t xml:space="preserve">Current price</t>
  </si>
  <si>
    <t xml:space="preserve">Base-case WACC</t>
  </si>
  <si>
    <t xml:space="preserve">Trading multiples — peers (close 16 Oct 2026)</t>
  </si>
  <si>
    <t xml:space="preserve">Source: StockAnalysis.com statistics pages (S&amp;P Global Market Intelligence data). Blue = input.</t>
  </si>
  <si>
    <t xml:space="preserve">Company</t>
  </si>
  <si>
    <t xml:space="preserve">Price ($)</t>
  </si>
  <si>
    <t xml:space="preserve">Market cap ($B)</t>
  </si>
  <si>
    <t xml:space="preserve">EV ($B)</t>
  </si>
  <si>
    <t xml:space="preserve">P/E (TTM)</t>
  </si>
  <si>
    <t xml:space="preserve">Forward P/E</t>
  </si>
  <si>
    <t xml:space="preserve">EV/Sales (TTM)</t>
  </si>
  <si>
    <t xml:space="preserve">EV/EBITDA (TTM)</t>
  </si>
  <si>
    <t xml:space="preserve">Revenue TTM ($B)</t>
  </si>
  <si>
    <t xml:space="preserve">Microsoft (MSFT)</t>
  </si>
  <si>
    <t xml:space="preserve">Meta Platforms (META)</t>
  </si>
  <si>
    <t xml:space="preserve">Amazon.com (AMZN)</t>
  </si>
  <si>
    <t xml:space="preserve">Peer median</t>
  </si>
  <si>
    <t xml:space="preserve">Peer low</t>
  </si>
  <si>
    <t xml:space="preserve">Peer high</t>
  </si>
  <si>
    <t xml:space="preserve">Alphabet (GOOGL)</t>
  </si>
  <si>
    <t xml:space="preserve">GOOGL TTM P/E is depressed by the $99B Q2 2026 equity-securities gain — use forward P/E.</t>
  </si>
  <si>
    <t xml:space="preserve">GOOGL inputs</t>
  </si>
  <si>
    <t xml:space="preserve">TTM revenue ($mm)</t>
  </si>
  <si>
    <t xml:space="preserve">TTM EBITDA ($mm)</t>
  </si>
  <si>
    <t xml:space="preserve">StockAnalysis.com, TTM to 30 Jun 2026</t>
  </si>
  <si>
    <t xml:space="preserve">Forward EPS ($) = price ÷ forward P/E</t>
  </si>
  <si>
    <t xml:space="preserve">Net cash ($mm)</t>
  </si>
  <si>
    <t xml:space="preserve">Shares (mm)</t>
  </si>
  <si>
    <t xml:space="preserve">Median</t>
  </si>
  <si>
    <t xml:space="preserve">EV / Sales (TTM)</t>
  </si>
  <si>
    <t xml:space="preserve">EV / EBITDA (TTM)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</si>
</sst>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yyyy\-mm\-dd"/>
    <numFmt numFmtId="166" formatCode="\$#,##0.00;&quot;($&quot;#,##0.00\);\-"/>
    <numFmt numFmtId="167" formatCode="#,##0"/>
    <numFmt numFmtId="168" formatCode="\$#,##0;&quot;($&quot;#,##0\);\-"/>
    <numFmt numFmtId="169" formatCode="0.0%;\(0.0%\);\-"/>
    <numFmt numFmtId="170" formatCode="0.00"/>
    <numFmt numFmtId="171" formatCode="0.00\x"/>
    <numFmt numFmtId="172" formatCode="\$#,##0\B"/>
    <numFmt numFmtId="173" formatCode="0.000"/>
    <numFmt numFmtId="174" formatCode="0.0\x"/>
    <numFmt numFmtId="175" formatCode="\$#,##0"/>
    <numFmt numFmtId="176" formatCode="\$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A44"/>
        <bgColor rgb="FF003366"/>
      </patternFill>
    </fill>
    <fill>
      <patternFill patternType="solid">
        <fgColor rgb="FFEEF2F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EEF2F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per share by method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Summary!$A$4:$A$7</c:f>
              <c:strCache>
                <c:ptCount val="4"/>
                <c:pt idx="0">
                  <c:v>DCF (WACC 9–10%, g 2.5–3.5%)</c:v>
                </c:pt>
                <c:pt idx="1">
                  <c:v>EV / Sales — peers</c:v>
                </c:pt>
                <c:pt idx="2">
                  <c:v>EV / EBITDA — peers</c:v>
                </c:pt>
                <c:pt idx="3">
                  <c:v>Forward P/E — peers</c:v>
                </c:pt>
              </c:strCache>
            </c:strRef>
          </c:cat>
          <c:val>
            <c:numRef>
              <c:f>Summary!$B$4:$B$7</c:f>
              <c:numCache>
                <c:formatCode>\$#,##0.00;"($"#,##0.00\);\-</c:formatCode>
                <c:ptCount val="4"/>
                <c:pt idx="0">
                  <c:v>198.752170864783</c:v>
                </c:pt>
                <c:pt idx="1">
                  <c:v>144.503336058872</c:v>
                </c:pt>
                <c:pt idx="2">
                  <c:v>246.549615699101</c:v>
                </c:pt>
                <c:pt idx="3">
                  <c:v>307.02383652718</c:v>
                </c:pt>
              </c:numCache>
            </c:numRef>
          </c:val>
        </c:ser>
        <c:ser>
          <c:idx val="1"/>
          <c:order val="1"/>
          <c:tx>
            <c:strRef>
              <c:f>Summary!C3</c:f>
              <c:strCache>
                <c:ptCount val="1"/>
                <c:pt idx="0">
                  <c:v>Base / median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Summary!$A$4:$A$7</c:f>
              <c:strCache>
                <c:ptCount val="4"/>
                <c:pt idx="0">
                  <c:v>DCF (WACC 9–10%, g 2.5–3.5%)</c:v>
                </c:pt>
                <c:pt idx="1">
                  <c:v>EV / Sales — peers</c:v>
                </c:pt>
                <c:pt idx="2">
                  <c:v>EV / EBITDA — peers</c:v>
                </c:pt>
                <c:pt idx="3">
                  <c:v>Forward P/E — peers</c:v>
                </c:pt>
              </c:strCache>
            </c:strRef>
          </c:cat>
          <c:val>
            <c:numRef>
              <c:f>Summary!$C$4:$C$7</c:f>
              <c:numCache>
                <c:formatCode>\$#,##0.00;"($"#,##0.00\);\-</c:formatCode>
                <c:ptCount val="4"/>
                <c:pt idx="0">
                  <c:v>230.273236665981</c:v>
                </c:pt>
                <c:pt idx="1">
                  <c:v>302.362461161079</c:v>
                </c:pt>
                <c:pt idx="2">
                  <c:v>248.673409648406</c:v>
                </c:pt>
                <c:pt idx="3">
                  <c:v>354.043105201408</c:v>
                </c:pt>
              </c:numCache>
            </c:numRef>
          </c:val>
        </c:ser>
        <c:ser>
          <c:idx val="2"/>
          <c:order val="2"/>
          <c:tx>
            <c:strRef>
              <c:f>Summary!D3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Summary!$A$4:$A$7</c:f>
              <c:strCache>
                <c:ptCount val="4"/>
                <c:pt idx="0">
                  <c:v>DCF (WACC 9–10%, g 2.5–3.5%)</c:v>
                </c:pt>
                <c:pt idx="1">
                  <c:v>EV / Sales — peers</c:v>
                </c:pt>
                <c:pt idx="2">
                  <c:v>EV / EBITDA — peers</c:v>
                </c:pt>
                <c:pt idx="3">
                  <c:v>Forward P/E — peers</c:v>
                </c:pt>
              </c:strCache>
            </c:strRef>
          </c:cat>
          <c:val>
            <c:numRef>
              <c:f>Summary!$D$4:$D$7</c:f>
              <c:numCache>
                <c:formatCode>\$#,##0.00;"($"#,##0.00\);\-</c:formatCode>
                <c:ptCount val="4"/>
                <c:pt idx="0">
                  <c:v>274.788004122779</c:v>
                </c:pt>
                <c:pt idx="1">
                  <c:v>450.7427473426</c:v>
                </c:pt>
                <c:pt idx="2">
                  <c:v>303.042534750613</c:v>
                </c:pt>
                <c:pt idx="3">
                  <c:v>356.307489245209</c:v>
                </c:pt>
              </c:numCache>
            </c:numRef>
          </c:val>
        </c:ser>
        <c:gapWidth val="150"/>
        <c:overlap val="0"/>
        <c:axId val="1651534"/>
        <c:axId val="32591603"/>
      </c:barChart>
      <c:catAx>
        <c:axId val="16515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91603"/>
        <c:crosses val="autoZero"/>
        <c:auto val="1"/>
        <c:lblAlgn val="ctr"/>
        <c:lblOffset val="100"/>
        <c:noMultiLvlLbl val="0"/>
      </c:catAx>
      <c:valAx>
        <c:axId val="32591603"/>
        <c:scaling>
          <c:orientation val="minMax"/>
        </c:scaling>
        <c:delete val="0"/>
        <c:axPos val="l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15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10080</xdr:rowOff>
    </xdr:from>
    <xdr:to>
      <xdr:col>4</xdr:col>
      <xdr:colOff>981720</xdr:colOff>
      <xdr:row>28</xdr:row>
      <xdr:rowOff>32040</xdr:rowOff>
    </xdr:to>
    <xdr:graphicFrame>
      <xdr:nvGraphicFramePr>
        <xdr:cNvPr id="0" name="Chart 1"/>
        <xdr:cNvGraphicFramePr/>
      </xdr:nvGraphicFramePr>
      <xdr:xfrm>
        <a:off x="0" y="2666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2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</row>
    <row r="3" customFormat="false" ht="15" hidden="false" customHeight="false" outlineLevel="0" collapsed="false">
      <c r="A3" s="3" t="s">
        <v>27</v>
      </c>
    </row>
    <row r="4" customFormat="false" ht="15" hidden="false" customHeight="false" outlineLevel="0" collapsed="false">
      <c r="A4" s="2" t="s">
        <v>28</v>
      </c>
      <c r="B4" s="5" t="n">
        <v>46311</v>
      </c>
      <c r="C4" s="6" t="s">
        <v>29</v>
      </c>
    </row>
    <row r="5" customFormat="false" ht="15" hidden="false" customHeight="false" outlineLevel="0" collapsed="false">
      <c r="A5" s="2" t="s">
        <v>30</v>
      </c>
      <c r="B5" s="7" t="n">
        <v>340.59</v>
      </c>
      <c r="C5" s="6" t="s">
        <v>31</v>
      </c>
    </row>
    <row r="6" customFormat="false" ht="15" hidden="false" customHeight="false" outlineLevel="0" collapsed="false">
      <c r="A6" s="2" t="s">
        <v>32</v>
      </c>
      <c r="B6" s="8" t="n">
        <v>12230</v>
      </c>
      <c r="C6" s="6" t="s">
        <v>33</v>
      </c>
    </row>
    <row r="7" customFormat="false" ht="15" hidden="false" customHeight="false" outlineLevel="0" collapsed="false">
      <c r="A7" s="2" t="s">
        <v>34</v>
      </c>
      <c r="B7" s="9" t="n">
        <v>242474</v>
      </c>
      <c r="C7" s="6" t="s">
        <v>35</v>
      </c>
    </row>
    <row r="8" customFormat="false" ht="15" hidden="false" customHeight="false" outlineLevel="0" collapsed="false">
      <c r="A8" s="2" t="s">
        <v>36</v>
      </c>
      <c r="B8" s="9" t="n">
        <v>98165</v>
      </c>
      <c r="C8" s="6" t="s">
        <v>37</v>
      </c>
    </row>
    <row r="9" customFormat="false" ht="15" hidden="false" customHeight="false" outlineLevel="0" collapsed="false">
      <c r="C9" s="10"/>
    </row>
    <row r="10" customFormat="false" ht="15" hidden="false" customHeight="false" outlineLevel="0" collapsed="false">
      <c r="A10" s="3" t="s">
        <v>38</v>
      </c>
      <c r="C10" s="10"/>
    </row>
    <row r="11" customFormat="false" ht="15" hidden="false" customHeight="false" outlineLevel="0" collapsed="false">
      <c r="A11" s="2" t="s">
        <v>39</v>
      </c>
      <c r="B11" s="11" t="n">
        <v>0.042</v>
      </c>
      <c r="C11" s="6" t="s">
        <v>40</v>
      </c>
    </row>
    <row r="12" customFormat="false" ht="15" hidden="false" customHeight="false" outlineLevel="0" collapsed="false">
      <c r="A12" s="2" t="s">
        <v>41</v>
      </c>
      <c r="B12" s="12" t="n">
        <v>1.21</v>
      </c>
      <c r="C12" s="6" t="s">
        <v>42</v>
      </c>
    </row>
    <row r="13" customFormat="false" ht="15" hidden="false" customHeight="false" outlineLevel="0" collapsed="false">
      <c r="A13" s="2" t="s">
        <v>43</v>
      </c>
      <c r="B13" s="11" t="n">
        <v>0.045</v>
      </c>
      <c r="C13" s="6" t="s">
        <v>44</v>
      </c>
    </row>
    <row r="14" customFormat="false" ht="15" hidden="false" customHeight="false" outlineLevel="0" collapsed="false">
      <c r="A14" s="2" t="s">
        <v>45</v>
      </c>
      <c r="B14" s="13" t="n">
        <v>0.048</v>
      </c>
      <c r="C14" s="6" t="s">
        <v>46</v>
      </c>
    </row>
    <row r="15" customFormat="false" ht="15" hidden="false" customHeight="false" outlineLevel="0" collapsed="false">
      <c r="A15" s="2" t="s">
        <v>47</v>
      </c>
      <c r="B15" s="13" t="n">
        <v>0.165</v>
      </c>
      <c r="C15" s="6" t="s">
        <v>48</v>
      </c>
    </row>
    <row r="16" customFormat="false" ht="15" hidden="false" customHeight="false" outlineLevel="0" collapsed="false">
      <c r="C16" s="10"/>
    </row>
    <row r="17" customFormat="false" ht="15" hidden="false" customHeight="false" outlineLevel="0" collapsed="false">
      <c r="A17" s="3" t="s">
        <v>49</v>
      </c>
      <c r="C17" s="10"/>
    </row>
    <row r="18" customFormat="false" ht="15" hidden="false" customHeight="false" outlineLevel="0" collapsed="false">
      <c r="A18" s="2" t="s">
        <v>50</v>
      </c>
      <c r="B18" s="11" t="n">
        <v>0.03</v>
      </c>
      <c r="C18" s="6" t="s">
        <v>44</v>
      </c>
    </row>
    <row r="19" customFormat="false" ht="15" hidden="false" customHeight="false" outlineLevel="0" collapsed="false">
      <c r="A19" s="2" t="s">
        <v>51</v>
      </c>
      <c r="B19" s="14" t="n">
        <v>1.1</v>
      </c>
      <c r="C19" s="6" t="s">
        <v>52</v>
      </c>
    </row>
    <row r="20" customFormat="false" ht="15" hidden="false" customHeight="false" outlineLevel="0" collapsed="false">
      <c r="A20" s="2" t="s">
        <v>53</v>
      </c>
      <c r="B20" s="15" t="n">
        <f aca="false">(DATE(2026,12,31)-B4)/365</f>
        <v>0.208219178082192</v>
      </c>
      <c r="C20" s="6" t="s">
        <v>54</v>
      </c>
    </row>
    <row r="22" customFormat="false" ht="15" hidden="false" customHeight="false" outlineLevel="0" collapsed="false">
      <c r="A22" s="16" t="s">
        <v>55</v>
      </c>
      <c r="B22" s="17" t="s">
        <v>56</v>
      </c>
      <c r="C22" s="17" t="s">
        <v>57</v>
      </c>
      <c r="D22" s="17" t="s">
        <v>58</v>
      </c>
      <c r="E22" s="17" t="s">
        <v>59</v>
      </c>
      <c r="F22" s="17" t="s">
        <v>60</v>
      </c>
      <c r="G22" s="17"/>
      <c r="H22" s="17" t="s">
        <v>61</v>
      </c>
    </row>
    <row r="23" customFormat="false" ht="15" hidden="false" customHeight="false" outlineLevel="0" collapsed="false">
      <c r="A23" s="2" t="s">
        <v>62</v>
      </c>
      <c r="B23" s="13" t="n">
        <v>0.14</v>
      </c>
      <c r="C23" s="13" t="n">
        <v>0.11</v>
      </c>
      <c r="D23" s="13" t="n">
        <v>0.09</v>
      </c>
      <c r="E23" s="13" t="n">
        <v>0.08</v>
      </c>
      <c r="F23" s="13" t="n">
        <v>0.07</v>
      </c>
      <c r="H23" s="4" t="s">
        <v>63</v>
      </c>
    </row>
    <row r="24" customFormat="false" ht="15" hidden="false" customHeight="false" outlineLevel="0" collapsed="false">
      <c r="A24" s="2" t="s">
        <v>64</v>
      </c>
      <c r="B24" s="13" t="n">
        <v>0.12</v>
      </c>
      <c r="C24" s="13" t="n">
        <v>0.11</v>
      </c>
      <c r="D24" s="13" t="n">
        <v>0.1</v>
      </c>
      <c r="E24" s="13" t="n">
        <v>0.09</v>
      </c>
      <c r="F24" s="13" t="n">
        <v>0.08</v>
      </c>
      <c r="H24" s="4" t="s">
        <v>65</v>
      </c>
    </row>
    <row r="25" customFormat="false" ht="15" hidden="false" customHeight="false" outlineLevel="0" collapsed="false">
      <c r="A25" s="2" t="s">
        <v>66</v>
      </c>
      <c r="B25" s="13" t="n">
        <v>-0.02</v>
      </c>
      <c r="C25" s="13" t="n">
        <v>-0.02</v>
      </c>
      <c r="D25" s="13" t="n">
        <v>-0.02</v>
      </c>
      <c r="E25" s="13" t="n">
        <v>-0.02</v>
      </c>
      <c r="F25" s="13" t="n">
        <v>-0.02</v>
      </c>
      <c r="H25" s="4" t="s">
        <v>67</v>
      </c>
    </row>
    <row r="26" customFormat="false" ht="15" hidden="false" customHeight="false" outlineLevel="0" collapsed="false">
      <c r="A26" s="2" t="s">
        <v>68</v>
      </c>
      <c r="B26" s="13" t="n">
        <v>0.15</v>
      </c>
      <c r="C26" s="13" t="n">
        <v>0.13</v>
      </c>
      <c r="D26" s="13" t="n">
        <v>0.12</v>
      </c>
      <c r="E26" s="13" t="n">
        <v>0.11</v>
      </c>
      <c r="F26" s="13" t="n">
        <v>0.1</v>
      </c>
      <c r="H26" s="4" t="s">
        <v>69</v>
      </c>
    </row>
    <row r="27" customFormat="false" ht="15" hidden="false" customHeight="false" outlineLevel="0" collapsed="false">
      <c r="A27" s="2" t="s">
        <v>70</v>
      </c>
      <c r="B27" s="11" t="n">
        <v>0.68</v>
      </c>
      <c r="C27" s="11" t="n">
        <v>0.45</v>
      </c>
      <c r="D27" s="11" t="n">
        <v>0.33</v>
      </c>
      <c r="E27" s="11" t="n">
        <v>0.25</v>
      </c>
      <c r="F27" s="11" t="n">
        <v>0.2</v>
      </c>
      <c r="H27" s="4" t="s">
        <v>71</v>
      </c>
    </row>
    <row r="28" customFormat="false" ht="15" hidden="false" customHeight="false" outlineLevel="0" collapsed="false">
      <c r="A28" s="2" t="s">
        <v>72</v>
      </c>
      <c r="B28" s="13" t="n">
        <v>0.1</v>
      </c>
      <c r="C28" s="13" t="n">
        <v>0.1</v>
      </c>
      <c r="D28" s="13" t="n">
        <v>0.1</v>
      </c>
      <c r="E28" s="13" t="n">
        <v>0.1</v>
      </c>
      <c r="F28" s="13" t="n">
        <v>0.1</v>
      </c>
      <c r="H28" s="4" t="s">
        <v>73</v>
      </c>
    </row>
    <row r="29" customFormat="false" ht="15" hidden="false" customHeight="false" outlineLevel="0" collapsed="false">
      <c r="A29" s="2" t="s">
        <v>74</v>
      </c>
      <c r="B29" s="11" t="n">
        <v>0.34</v>
      </c>
      <c r="C29" s="11" t="n">
        <v>0.325</v>
      </c>
      <c r="D29" s="11" t="n">
        <v>0.335</v>
      </c>
      <c r="E29" s="11" t="n">
        <v>0.35</v>
      </c>
      <c r="F29" s="11" t="n">
        <v>0.36</v>
      </c>
      <c r="H29" s="4" t="s">
        <v>75</v>
      </c>
    </row>
    <row r="30" customFormat="false" ht="15" hidden="false" customHeight="false" outlineLevel="0" collapsed="false">
      <c r="A30" s="2" t="s">
        <v>76</v>
      </c>
      <c r="B30" s="13" t="n">
        <v>0.08</v>
      </c>
      <c r="C30" s="13" t="n">
        <v>0.11</v>
      </c>
      <c r="D30" s="13" t="n">
        <v>0.13</v>
      </c>
      <c r="E30" s="13" t="n">
        <v>0.14</v>
      </c>
      <c r="F30" s="13" t="n">
        <v>0.145</v>
      </c>
      <c r="H30" s="4" t="s">
        <v>77</v>
      </c>
    </row>
    <row r="31" customFormat="false" ht="15" hidden="false" customHeight="false" outlineLevel="0" collapsed="false">
      <c r="A31" s="2" t="s">
        <v>78</v>
      </c>
      <c r="B31" s="11" t="n">
        <v>0.41</v>
      </c>
      <c r="C31" s="11" t="n">
        <v>0.46</v>
      </c>
      <c r="D31" s="11" t="n">
        <v>0.38</v>
      </c>
      <c r="E31" s="11" t="n">
        <v>0.32</v>
      </c>
      <c r="F31" s="11" t="n">
        <v>0.26</v>
      </c>
      <c r="H31" s="4" t="s">
        <v>79</v>
      </c>
    </row>
    <row r="32" customFormat="false" ht="15" hidden="false" customHeight="false" outlineLevel="0" collapsed="false">
      <c r="A32" s="2" t="s">
        <v>80</v>
      </c>
      <c r="B32" s="13" t="n">
        <v>0.02</v>
      </c>
      <c r="C32" s="13" t="n">
        <v>0.02</v>
      </c>
      <c r="D32" s="13" t="n">
        <v>0.02</v>
      </c>
      <c r="E32" s="13" t="n">
        <v>0.02</v>
      </c>
      <c r="F32" s="13" t="n">
        <v>0.02</v>
      </c>
      <c r="H32" s="4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82</v>
      </c>
    </row>
    <row r="3" customFormat="false" ht="26.85" hidden="false" customHeight="false" outlineLevel="0" collapsed="false">
      <c r="A3" s="16" t="s">
        <v>83</v>
      </c>
      <c r="B3" s="17" t="s">
        <v>84</v>
      </c>
      <c r="C3" s="17" t="s">
        <v>85</v>
      </c>
      <c r="D3" s="17" t="s">
        <v>86</v>
      </c>
      <c r="E3" s="17" t="s">
        <v>87</v>
      </c>
    </row>
    <row r="4" customFormat="false" ht="15" hidden="false" customHeight="false" outlineLevel="0" collapsed="false">
      <c r="A4" s="18" t="s">
        <v>88</v>
      </c>
      <c r="B4" s="19" t="n">
        <f aca="false">Sensitivity!C9</f>
        <v>198.752170864783</v>
      </c>
      <c r="C4" s="19" t="n">
        <f aca="false">DCF!B38</f>
        <v>230.273236665981</v>
      </c>
      <c r="D4" s="19" t="n">
        <f aca="false">Sensitivity!E7</f>
        <v>274.788004122779</v>
      </c>
      <c r="E4" s="20" t="n">
        <f aca="false">C4/$B$9-1</f>
        <v>-0.323899008585159</v>
      </c>
    </row>
    <row r="5" customFormat="false" ht="15" hidden="false" customHeight="false" outlineLevel="0" collapsed="false">
      <c r="A5" s="18" t="s">
        <v>89</v>
      </c>
      <c r="B5" s="19" t="n">
        <f aca="false">Multiples!B23</f>
        <v>144.503336058872</v>
      </c>
      <c r="C5" s="19" t="n">
        <f aca="false">Multiples!C23</f>
        <v>302.362461161079</v>
      </c>
      <c r="D5" s="19" t="n">
        <f aca="false">Multiples!D23</f>
        <v>450.7427473426</v>
      </c>
      <c r="E5" s="20" t="n">
        <f aca="false">C5/$B$9-1</f>
        <v>-0.112239169790424</v>
      </c>
    </row>
    <row r="6" customFormat="false" ht="15" hidden="false" customHeight="false" outlineLevel="0" collapsed="false">
      <c r="A6" s="18" t="s">
        <v>90</v>
      </c>
      <c r="B6" s="19" t="n">
        <f aca="false">Multiples!B24</f>
        <v>246.549615699101</v>
      </c>
      <c r="C6" s="19" t="n">
        <f aca="false">Multiples!C24</f>
        <v>248.673409648406</v>
      </c>
      <c r="D6" s="19" t="n">
        <f aca="false">Multiples!D24</f>
        <v>303.042534750613</v>
      </c>
      <c r="E6" s="20" t="n">
        <f aca="false">C6/$B$9-1</f>
        <v>-0.269874600991205</v>
      </c>
    </row>
    <row r="7" customFormat="false" ht="15" hidden="false" customHeight="false" outlineLevel="0" collapsed="false">
      <c r="A7" s="18" t="s">
        <v>91</v>
      </c>
      <c r="B7" s="19" t="n">
        <f aca="false">Multiples!B25</f>
        <v>307.02383652718</v>
      </c>
      <c r="C7" s="19" t="n">
        <f aca="false">Multiples!C25</f>
        <v>354.043105201408</v>
      </c>
      <c r="D7" s="19" t="n">
        <f aca="false">Multiples!D25</f>
        <v>356.307489245209</v>
      </c>
      <c r="E7" s="20" t="n">
        <f aca="false">C7/$B$9-1</f>
        <v>0.0394994133750488</v>
      </c>
    </row>
    <row r="9" customFormat="false" ht="15" hidden="false" customHeight="false" outlineLevel="0" collapsed="false">
      <c r="A9" s="0" t="s">
        <v>92</v>
      </c>
      <c r="B9" s="19" t="n">
        <f aca="false">Assumptions!B5</f>
        <v>340.59</v>
      </c>
    </row>
    <row r="10" customFormat="false" ht="15" hidden="false" customHeight="false" outlineLevel="0" collapsed="false">
      <c r="A10" s="0" t="s">
        <v>93</v>
      </c>
      <c r="B10" s="21" t="n">
        <f aca="false">AVERAGE(C4:C7)</f>
        <v>283.838053169218</v>
      </c>
    </row>
    <row r="11" customFormat="false" ht="15" hidden="false" customHeight="false" outlineLevel="0" collapsed="false">
      <c r="A11" s="0" t="s">
        <v>94</v>
      </c>
      <c r="B11" s="22" t="n">
        <f aca="false">B10/B9-1</f>
        <v>-0.166628341497935</v>
      </c>
    </row>
    <row r="13" customFormat="false" ht="15" hidden="false" customHeight="false" outlineLevel="0" collapsed="false">
      <c r="A13" s="4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4" t="s">
        <v>97</v>
      </c>
    </row>
    <row r="3" customFormat="false" ht="15" hidden="false" customHeight="false" outlineLevel="0" collapsed="false">
      <c r="A3" s="16" t="s">
        <v>98</v>
      </c>
      <c r="B3" s="17" t="s">
        <v>99</v>
      </c>
      <c r="C3" s="17" t="s">
        <v>100</v>
      </c>
      <c r="D3" s="17" t="s">
        <v>101</v>
      </c>
      <c r="E3" s="17" t="s">
        <v>102</v>
      </c>
      <c r="F3" s="17" t="s">
        <v>103</v>
      </c>
    </row>
    <row r="4" customFormat="false" ht="15" hidden="false" customHeight="false" outlineLevel="0" collapsed="false">
      <c r="A4" s="23" t="s">
        <v>104</v>
      </c>
      <c r="B4" s="9" t="n">
        <v>175033</v>
      </c>
      <c r="C4" s="9" t="n">
        <v>198084</v>
      </c>
      <c r="D4" s="9" t="n">
        <v>224532</v>
      </c>
      <c r="F4" s="9" t="n">
        <v>63271</v>
      </c>
    </row>
    <row r="5" customFormat="false" ht="15" hidden="false" customHeight="false" outlineLevel="0" collapsed="false">
      <c r="A5" s="23" t="s">
        <v>105</v>
      </c>
      <c r="B5" s="9" t="n">
        <v>31510</v>
      </c>
      <c r="C5" s="9" t="n">
        <v>36147</v>
      </c>
      <c r="D5" s="9" t="n">
        <v>40367</v>
      </c>
      <c r="F5" s="9" t="n">
        <v>11055</v>
      </c>
    </row>
    <row r="6" customFormat="false" ht="15" hidden="false" customHeight="false" outlineLevel="0" collapsed="false">
      <c r="A6" s="23" t="s">
        <v>106</v>
      </c>
      <c r="B6" s="9" t="n">
        <v>31312</v>
      </c>
      <c r="C6" s="9" t="n">
        <v>30359</v>
      </c>
      <c r="D6" s="9" t="n">
        <v>29792</v>
      </c>
      <c r="F6" s="9" t="n">
        <v>7303</v>
      </c>
    </row>
    <row r="7" customFormat="false" ht="15" hidden="false" customHeight="false" outlineLevel="0" collapsed="false">
      <c r="A7" s="23" t="s">
        <v>107</v>
      </c>
      <c r="B7" s="9" t="n">
        <v>34688</v>
      </c>
      <c r="C7" s="9" t="n">
        <v>40340</v>
      </c>
      <c r="D7" s="9" t="n">
        <v>48030</v>
      </c>
      <c r="F7" s="9" t="n">
        <v>12911</v>
      </c>
    </row>
    <row r="8" customFormat="false" ht="15" hidden="false" customHeight="false" outlineLevel="0" collapsed="false">
      <c r="A8" s="23" t="s">
        <v>108</v>
      </c>
      <c r="B8" s="9" t="n">
        <v>33088</v>
      </c>
      <c r="C8" s="9" t="n">
        <v>43229</v>
      </c>
      <c r="D8" s="9" t="n">
        <v>58705</v>
      </c>
      <c r="F8" s="9" t="n">
        <v>24768</v>
      </c>
    </row>
    <row r="9" customFormat="false" ht="15" hidden="false" customHeight="false" outlineLevel="0" collapsed="false">
      <c r="A9" s="23" t="s">
        <v>109</v>
      </c>
      <c r="B9" s="9" t="n">
        <v>1527</v>
      </c>
      <c r="C9" s="9" t="n">
        <v>1648</v>
      </c>
      <c r="D9" s="9" t="n">
        <v>1537</v>
      </c>
      <c r="F9" s="9" t="n">
        <v>382</v>
      </c>
    </row>
    <row r="10" customFormat="false" ht="15" hidden="false" customHeight="false" outlineLevel="0" collapsed="false">
      <c r="A10" s="23" t="s">
        <v>110</v>
      </c>
      <c r="B10" s="9" t="n">
        <v>236</v>
      </c>
      <c r="C10" s="9" t="n">
        <v>211</v>
      </c>
      <c r="D10" s="9" t="n">
        <v>-127</v>
      </c>
      <c r="F10" s="9" t="n">
        <v>106</v>
      </c>
    </row>
    <row r="11" customFormat="false" ht="15" hidden="false" customHeight="false" outlineLevel="0" collapsed="false">
      <c r="A11" s="3" t="s">
        <v>111</v>
      </c>
      <c r="B11" s="24" t="n">
        <f aca="false">SUM(B4:B10)</f>
        <v>307394</v>
      </c>
      <c r="C11" s="24" t="n">
        <f aca="false">SUM(C4:C10)</f>
        <v>350018</v>
      </c>
      <c r="D11" s="24" t="n">
        <f aca="false">SUM(D4:D10)</f>
        <v>402836</v>
      </c>
      <c r="E11" s="9" t="n">
        <v>229692</v>
      </c>
      <c r="F11" s="24" t="n">
        <f aca="false">SUM(F4:F10)</f>
        <v>119796</v>
      </c>
    </row>
    <row r="12" customFormat="false" ht="15" hidden="false" customHeight="false" outlineLevel="0" collapsed="false">
      <c r="A12" s="2" t="s">
        <v>112</v>
      </c>
      <c r="C12" s="20" t="n">
        <f aca="false">C11/B11-1</f>
        <v>0.138662433229016</v>
      </c>
      <c r="D12" s="20" t="n">
        <f aca="false">D11/C11-1</f>
        <v>0.150900810815444</v>
      </c>
    </row>
    <row r="13" customFormat="false" ht="15" hidden="false" customHeight="false" outlineLevel="0" collapsed="false">
      <c r="A13" s="23" t="s">
        <v>113</v>
      </c>
      <c r="B13" s="9" t="n">
        <v>133332</v>
      </c>
      <c r="C13" s="9" t="n">
        <v>146306</v>
      </c>
      <c r="D13" s="9" t="n">
        <v>162535</v>
      </c>
    </row>
    <row r="14" customFormat="false" ht="15" hidden="false" customHeight="false" outlineLevel="0" collapsed="false">
      <c r="A14" s="23" t="s">
        <v>114</v>
      </c>
      <c r="B14" s="9" t="n">
        <v>45427</v>
      </c>
      <c r="C14" s="9" t="n">
        <v>49326</v>
      </c>
      <c r="D14" s="9" t="n">
        <v>61087</v>
      </c>
    </row>
    <row r="15" customFormat="false" ht="15" hidden="false" customHeight="false" outlineLevel="0" collapsed="false">
      <c r="A15" s="23" t="s">
        <v>115</v>
      </c>
      <c r="B15" s="9" t="n">
        <v>27917</v>
      </c>
      <c r="C15" s="9" t="n">
        <v>27808</v>
      </c>
      <c r="D15" s="9" t="n">
        <v>28693</v>
      </c>
    </row>
    <row r="16" customFormat="false" ht="15" hidden="false" customHeight="false" outlineLevel="0" collapsed="false">
      <c r="A16" s="23" t="s">
        <v>116</v>
      </c>
      <c r="B16" s="9" t="n">
        <v>16425</v>
      </c>
      <c r="C16" s="9" t="n">
        <v>14188</v>
      </c>
      <c r="D16" s="9" t="n">
        <v>21482</v>
      </c>
    </row>
    <row r="17" customFormat="false" ht="15" hidden="false" customHeight="false" outlineLevel="0" collapsed="false">
      <c r="A17" s="3" t="s">
        <v>117</v>
      </c>
      <c r="B17" s="24" t="n">
        <f aca="false">B11-SUM(B13:B16)</f>
        <v>84293</v>
      </c>
      <c r="C17" s="24" t="n">
        <f aca="false">C11-SUM(C13:C16)</f>
        <v>112390</v>
      </c>
      <c r="D17" s="24" t="n">
        <f aca="false">D11-SUM(D13:D16)</f>
        <v>129039</v>
      </c>
      <c r="E17" s="9" t="n">
        <v>80466</v>
      </c>
      <c r="F17" s="9" t="n">
        <v>40770</v>
      </c>
    </row>
    <row r="18" customFormat="false" ht="15" hidden="false" customHeight="false" outlineLevel="0" collapsed="false">
      <c r="A18" s="2" t="s">
        <v>118</v>
      </c>
      <c r="B18" s="20" t="n">
        <f aca="false">B17/B11</f>
        <v>0.274218104452266</v>
      </c>
      <c r="C18" s="20" t="n">
        <f aca="false">C17/C11</f>
        <v>0.321097772114577</v>
      </c>
      <c r="D18" s="20" t="n">
        <f aca="false">D17/D11</f>
        <v>0.3203263859238</v>
      </c>
      <c r="E18" s="20" t="n">
        <f aca="false">E17/E11</f>
        <v>0.350321299827595</v>
      </c>
      <c r="F18" s="20" t="n">
        <f aca="false">F17/F11</f>
        <v>0.340328558549534</v>
      </c>
    </row>
    <row r="19" customFormat="false" ht="15" hidden="false" customHeight="false" outlineLevel="0" collapsed="false">
      <c r="A19" s="2" t="s">
        <v>119</v>
      </c>
      <c r="B19" s="9" t="n">
        <v>84293</v>
      </c>
      <c r="C19" s="9" t="n">
        <v>112390</v>
      </c>
      <c r="D19" s="9" t="n">
        <v>129039</v>
      </c>
    </row>
    <row r="20" customFormat="false" ht="15" hidden="false" customHeight="false" outlineLevel="0" collapsed="false">
      <c r="A20" s="23" t="s">
        <v>120</v>
      </c>
      <c r="B20" s="9" t="n">
        <v>1424</v>
      </c>
      <c r="C20" s="9" t="n">
        <v>7425</v>
      </c>
      <c r="D20" s="9" t="n">
        <v>29787</v>
      </c>
    </row>
    <row r="21" customFormat="false" ht="15" hidden="false" customHeight="false" outlineLevel="0" collapsed="false">
      <c r="A21" s="2" t="s">
        <v>121</v>
      </c>
      <c r="B21" s="25" t="n">
        <f aca="false">B17+B20</f>
        <v>85717</v>
      </c>
      <c r="C21" s="25" t="n">
        <f aca="false">C17+C20</f>
        <v>119815</v>
      </c>
      <c r="D21" s="25" t="n">
        <f aca="false">D17+D20</f>
        <v>158826</v>
      </c>
    </row>
    <row r="22" customFormat="false" ht="15" hidden="false" customHeight="false" outlineLevel="0" collapsed="false">
      <c r="A22" s="23" t="s">
        <v>122</v>
      </c>
      <c r="B22" s="9" t="n">
        <v>11922</v>
      </c>
      <c r="C22" s="9" t="n">
        <v>19697</v>
      </c>
      <c r="D22" s="9" t="n">
        <v>26656</v>
      </c>
    </row>
    <row r="23" customFormat="false" ht="15" hidden="false" customHeight="false" outlineLevel="0" collapsed="false">
      <c r="A23" s="3" t="s">
        <v>123</v>
      </c>
      <c r="B23" s="24" t="n">
        <f aca="false">B21-B22</f>
        <v>73795</v>
      </c>
      <c r="C23" s="24" t="n">
        <f aca="false">C21-C22</f>
        <v>100118</v>
      </c>
      <c r="D23" s="24" t="n">
        <f aca="false">D21-D22</f>
        <v>132170</v>
      </c>
      <c r="E23" s="9" t="n">
        <v>174771</v>
      </c>
      <c r="F23" s="9" t="n">
        <v>112193</v>
      </c>
      <c r="G23" s="4" t="s">
        <v>124</v>
      </c>
    </row>
    <row r="24" customFormat="false" ht="15" hidden="false" customHeight="false" outlineLevel="0" collapsed="false">
      <c r="A24" s="2" t="s">
        <v>125</v>
      </c>
      <c r="B24" s="20" t="n">
        <f aca="false">B22/B21</f>
        <v>0.139085595622805</v>
      </c>
      <c r="C24" s="20" t="n">
        <f aca="false">C22/C21</f>
        <v>0.16439510912657</v>
      </c>
      <c r="D24" s="20" t="n">
        <f aca="false">D22/D21</f>
        <v>0.167831463362422</v>
      </c>
    </row>
    <row r="25" customFormat="false" ht="15" hidden="false" customHeight="false" outlineLevel="0" collapsed="false">
      <c r="A25" s="2" t="s">
        <v>126</v>
      </c>
      <c r="B25" s="7" t="n">
        <v>5.8</v>
      </c>
      <c r="C25" s="7" t="n">
        <v>8.04</v>
      </c>
      <c r="D25" s="7" t="n">
        <v>10.81</v>
      </c>
      <c r="E25" s="7" t="n">
        <v>14.24</v>
      </c>
      <c r="F25" s="7" t="n">
        <v>9.11</v>
      </c>
    </row>
    <row r="27" customFormat="false" ht="15" hidden="false" customHeight="false" outlineLevel="0" collapsed="false">
      <c r="A27" s="3" t="s">
        <v>127</v>
      </c>
    </row>
    <row r="28" customFormat="false" ht="15" hidden="false" customHeight="false" outlineLevel="0" collapsed="false">
      <c r="A28" s="23" t="s">
        <v>128</v>
      </c>
      <c r="B28" s="9" t="n">
        <v>11946</v>
      </c>
      <c r="C28" s="9" t="n">
        <v>15311</v>
      </c>
      <c r="D28" s="9" t="n">
        <v>21136</v>
      </c>
    </row>
    <row r="29" customFormat="false" ht="15" hidden="false" customHeight="false" outlineLevel="0" collapsed="false">
      <c r="A29" s="23" t="s">
        <v>129</v>
      </c>
      <c r="B29" s="9" t="n">
        <v>22460</v>
      </c>
      <c r="C29" s="9" t="n">
        <v>22785</v>
      </c>
      <c r="D29" s="9" t="n">
        <v>24953</v>
      </c>
    </row>
    <row r="30" customFormat="false" ht="15" hidden="false" customHeight="false" outlineLevel="0" collapsed="false">
      <c r="A30" s="23" t="s">
        <v>130</v>
      </c>
      <c r="B30" s="9" t="n">
        <v>101746</v>
      </c>
      <c r="C30" s="9" t="n">
        <v>125299</v>
      </c>
      <c r="D30" s="9" t="n">
        <v>164713</v>
      </c>
      <c r="E30" s="9" t="n">
        <v>84859</v>
      </c>
      <c r="F30" s="9" t="n">
        <v>39069</v>
      </c>
    </row>
    <row r="31" customFormat="false" ht="15" hidden="false" customHeight="false" outlineLevel="0" collapsed="false">
      <c r="A31" s="23" t="s">
        <v>131</v>
      </c>
      <c r="B31" s="9" t="n">
        <v>32251</v>
      </c>
      <c r="C31" s="9" t="n">
        <v>52535</v>
      </c>
      <c r="D31" s="9" t="n">
        <v>91447</v>
      </c>
      <c r="E31" s="9" t="n">
        <v>80598</v>
      </c>
      <c r="F31" s="9" t="n">
        <v>44924</v>
      </c>
    </row>
    <row r="32" customFormat="false" ht="15" hidden="false" customHeight="false" outlineLevel="0" collapsed="false">
      <c r="A32" s="3" t="s">
        <v>132</v>
      </c>
      <c r="B32" s="24" t="n">
        <f aca="false">B30-B31</f>
        <v>69495</v>
      </c>
      <c r="C32" s="24" t="n">
        <f aca="false">C30-C31</f>
        <v>72764</v>
      </c>
      <c r="D32" s="24" t="n">
        <f aca="false">D30-D31</f>
        <v>73266</v>
      </c>
      <c r="E32" s="24" t="n">
        <f aca="false">E30-E31</f>
        <v>4261</v>
      </c>
      <c r="F32" s="24" t="n">
        <f aca="false">F30-F31</f>
        <v>-5855</v>
      </c>
    </row>
    <row r="33" customFormat="false" ht="15" hidden="false" customHeight="false" outlineLevel="0" collapsed="false">
      <c r="A33" s="2" t="s">
        <v>133</v>
      </c>
      <c r="B33" s="20" t="n">
        <f aca="false">B31/B11</f>
        <v>0.104917467484726</v>
      </c>
      <c r="C33" s="20" t="n">
        <f aca="false">C31/C11</f>
        <v>0.150092280968407</v>
      </c>
      <c r="D33" s="20" t="n">
        <f aca="false">D31/D11</f>
        <v>0.227008013186508</v>
      </c>
      <c r="E33" s="20" t="n">
        <f aca="false">E31/E11</f>
        <v>0.350895982446058</v>
      </c>
      <c r="F33" s="20" t="n">
        <f aca="false">F31/F11</f>
        <v>0.375004173762062</v>
      </c>
    </row>
    <row r="34" customFormat="false" ht="15" hidden="false" customHeight="false" outlineLevel="0" collapsed="false">
      <c r="A34" s="2" t="s">
        <v>134</v>
      </c>
      <c r="B34" s="20" t="n">
        <f aca="false">B28/B11</f>
        <v>0.0388621768804856</v>
      </c>
      <c r="C34" s="20" t="n">
        <f aca="false">C28/C11</f>
        <v>0.0437434646218194</v>
      </c>
      <c r="D34" s="20" t="n">
        <f aca="false">D28/D11</f>
        <v>0.0524680018667646</v>
      </c>
    </row>
    <row r="36" customFormat="false" ht="15" hidden="false" customHeight="false" outlineLevel="0" collapsed="false">
      <c r="A36" s="3" t="s">
        <v>135</v>
      </c>
    </row>
    <row r="37" customFormat="false" ht="15" hidden="false" customHeight="false" outlineLevel="0" collapsed="false">
      <c r="A37" s="23" t="s">
        <v>136</v>
      </c>
      <c r="B37" s="9" t="n">
        <v>110916</v>
      </c>
      <c r="C37" s="9" t="n">
        <v>95657</v>
      </c>
      <c r="D37" s="9" t="n">
        <v>126843</v>
      </c>
      <c r="E37" s="9" t="n">
        <v>242474</v>
      </c>
    </row>
    <row r="38" customFormat="false" ht="15" hidden="false" customHeight="false" outlineLevel="0" collapsed="false">
      <c r="A38" s="23" t="s">
        <v>137</v>
      </c>
      <c r="B38" s="9" t="n">
        <v>13253</v>
      </c>
      <c r="C38" s="9" t="n">
        <v>10883</v>
      </c>
      <c r="D38" s="9" t="n">
        <v>46547</v>
      </c>
      <c r="E38" s="9" t="n">
        <v>98165</v>
      </c>
    </row>
    <row r="39" customFormat="false" ht="15" hidden="false" customHeight="false" outlineLevel="0" collapsed="false">
      <c r="A39" s="23" t="s">
        <v>32</v>
      </c>
      <c r="C39" s="8" t="n">
        <v>12211</v>
      </c>
      <c r="D39" s="8" t="n">
        <v>12088</v>
      </c>
      <c r="E39" s="8" t="n">
        <v>12230</v>
      </c>
    </row>
    <row r="41" customFormat="false" ht="15" hidden="false" customHeight="false" outlineLevel="0" collapsed="false">
      <c r="A41" s="4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4" t="s">
        <v>140</v>
      </c>
    </row>
    <row r="3" customFormat="false" ht="15" hidden="false" customHeight="false" outlineLevel="0" collapsed="false">
      <c r="A3" s="16" t="s">
        <v>98</v>
      </c>
      <c r="B3" s="17" t="s">
        <v>141</v>
      </c>
      <c r="C3" s="17" t="s">
        <v>56</v>
      </c>
      <c r="D3" s="17" t="s">
        <v>57</v>
      </c>
      <c r="E3" s="17" t="s">
        <v>58</v>
      </c>
      <c r="F3" s="17" t="s">
        <v>59</v>
      </c>
      <c r="G3" s="17" t="s">
        <v>60</v>
      </c>
    </row>
    <row r="4" customFormat="false" ht="15" hidden="false" customHeight="false" outlineLevel="0" collapsed="false">
      <c r="A4" s="23" t="s">
        <v>104</v>
      </c>
      <c r="B4" s="26" t="n">
        <f aca="false">Historicals!D4</f>
        <v>224532</v>
      </c>
      <c r="C4" s="25" t="n">
        <f aca="false">B4*(1+Assumptions!B23)</f>
        <v>255966.48</v>
      </c>
      <c r="D4" s="25" t="n">
        <f aca="false">C4*(1+Assumptions!C23)</f>
        <v>284122.7928</v>
      </c>
      <c r="E4" s="25" t="n">
        <f aca="false">D4*(1+Assumptions!D23)</f>
        <v>309693.844152</v>
      </c>
      <c r="F4" s="25" t="n">
        <f aca="false">E4*(1+Assumptions!E23)</f>
        <v>334469.35168416</v>
      </c>
      <c r="G4" s="25" t="n">
        <f aca="false">F4*(1+Assumptions!F23)</f>
        <v>357882.206302051</v>
      </c>
    </row>
    <row r="5" customFormat="false" ht="15" hidden="false" customHeight="false" outlineLevel="0" collapsed="false">
      <c r="A5" s="23" t="s">
        <v>105</v>
      </c>
      <c r="B5" s="26" t="n">
        <f aca="false">Historicals!D5</f>
        <v>40367</v>
      </c>
      <c r="C5" s="25" t="n">
        <f aca="false">B5*(1+Assumptions!B24)</f>
        <v>45211.04</v>
      </c>
      <c r="D5" s="25" t="n">
        <f aca="false">C5*(1+Assumptions!C24)</f>
        <v>50184.2544</v>
      </c>
      <c r="E5" s="25" t="n">
        <f aca="false">D5*(1+Assumptions!D24)</f>
        <v>55202.67984</v>
      </c>
      <c r="F5" s="25" t="n">
        <f aca="false">E5*(1+Assumptions!E24)</f>
        <v>60170.9210256</v>
      </c>
      <c r="G5" s="25" t="n">
        <f aca="false">F5*(1+Assumptions!F24)</f>
        <v>64984.594707648</v>
      </c>
    </row>
    <row r="6" customFormat="false" ht="15" hidden="false" customHeight="false" outlineLevel="0" collapsed="false">
      <c r="A6" s="23" t="s">
        <v>106</v>
      </c>
      <c r="B6" s="26" t="n">
        <f aca="false">Historicals!D6</f>
        <v>29792</v>
      </c>
      <c r="C6" s="25" t="n">
        <f aca="false">B6*(1+Assumptions!B25)</f>
        <v>29196.16</v>
      </c>
      <c r="D6" s="25" t="n">
        <f aca="false">C6*(1+Assumptions!C25)</f>
        <v>28612.2368</v>
      </c>
      <c r="E6" s="25" t="n">
        <f aca="false">D6*(1+Assumptions!D25)</f>
        <v>28039.992064</v>
      </c>
      <c r="F6" s="25" t="n">
        <f aca="false">E6*(1+Assumptions!E25)</f>
        <v>27479.19222272</v>
      </c>
      <c r="G6" s="25" t="n">
        <f aca="false">F6*(1+Assumptions!F25)</f>
        <v>26929.6083782656</v>
      </c>
    </row>
    <row r="7" customFormat="false" ht="15" hidden="false" customHeight="false" outlineLevel="0" collapsed="false">
      <c r="A7" s="23" t="s">
        <v>107</v>
      </c>
      <c r="B7" s="26" t="n">
        <f aca="false">Historicals!D7</f>
        <v>48030</v>
      </c>
      <c r="C7" s="25" t="n">
        <f aca="false">B7*(1+Assumptions!B26)</f>
        <v>55234.5</v>
      </c>
      <c r="D7" s="25" t="n">
        <f aca="false">C7*(1+Assumptions!C26)</f>
        <v>62414.985</v>
      </c>
      <c r="E7" s="25" t="n">
        <f aca="false">D7*(1+Assumptions!D26)</f>
        <v>69904.7832</v>
      </c>
      <c r="F7" s="25" t="n">
        <f aca="false">E7*(1+Assumptions!E26)</f>
        <v>77594.309352</v>
      </c>
      <c r="G7" s="25" t="n">
        <f aca="false">F7*(1+Assumptions!F26)</f>
        <v>85353.7402872</v>
      </c>
    </row>
    <row r="8" customFormat="false" ht="15" hidden="false" customHeight="false" outlineLevel="0" collapsed="false">
      <c r="A8" s="23" t="s">
        <v>108</v>
      </c>
      <c r="B8" s="26" t="n">
        <f aca="false">Historicals!D8</f>
        <v>58705</v>
      </c>
      <c r="C8" s="25" t="n">
        <f aca="false">B8*(1+Assumptions!B27)</f>
        <v>98624.4</v>
      </c>
      <c r="D8" s="25" t="n">
        <f aca="false">C8*(1+Assumptions!C27)</f>
        <v>143005.38</v>
      </c>
      <c r="E8" s="25" t="n">
        <f aca="false">D8*(1+Assumptions!D27)</f>
        <v>190197.1554</v>
      </c>
      <c r="F8" s="25" t="n">
        <f aca="false">E8*(1+Assumptions!E27)</f>
        <v>237746.44425</v>
      </c>
      <c r="G8" s="25" t="n">
        <f aca="false">F8*(1+Assumptions!F27)</f>
        <v>285295.7331</v>
      </c>
    </row>
    <row r="9" customFormat="false" ht="15" hidden="false" customHeight="false" outlineLevel="0" collapsed="false">
      <c r="A9" s="23" t="s">
        <v>109</v>
      </c>
      <c r="B9" s="26" t="n">
        <f aca="false">Historicals!D9</f>
        <v>1537</v>
      </c>
      <c r="C9" s="25" t="n">
        <f aca="false">B9*(1+Assumptions!B28)</f>
        <v>1690.7</v>
      </c>
      <c r="D9" s="25" t="n">
        <f aca="false">C9*(1+Assumptions!C28)</f>
        <v>1859.77</v>
      </c>
      <c r="E9" s="25" t="n">
        <f aca="false">D9*(1+Assumptions!D28)</f>
        <v>2045.747</v>
      </c>
      <c r="F9" s="25" t="n">
        <f aca="false">E9*(1+Assumptions!E28)</f>
        <v>2250.3217</v>
      </c>
      <c r="G9" s="25" t="n">
        <f aca="false">F9*(1+Assumptions!F28)</f>
        <v>2475.35387</v>
      </c>
    </row>
    <row r="10" customFormat="false" ht="15" hidden="false" customHeight="false" outlineLevel="0" collapsed="false">
      <c r="A10" s="23" t="s">
        <v>110</v>
      </c>
      <c r="B10" s="26" t="n">
        <f aca="false">Historicals!D10</f>
        <v>-127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</row>
    <row r="11" customFormat="false" ht="15" hidden="false" customHeight="false" outlineLevel="0" collapsed="false">
      <c r="A11" s="3" t="s">
        <v>111</v>
      </c>
      <c r="B11" s="24" t="n">
        <f aca="false">SUM(B4:B10)</f>
        <v>402836</v>
      </c>
      <c r="C11" s="24" t="n">
        <f aca="false">SUM(C4:C10)</f>
        <v>485923.28</v>
      </c>
      <c r="D11" s="24" t="n">
        <f aca="false">SUM(D4:D10)</f>
        <v>570199.419</v>
      </c>
      <c r="E11" s="24" t="n">
        <f aca="false">SUM(E4:E10)</f>
        <v>655084.201656</v>
      </c>
      <c r="F11" s="24" t="n">
        <f aca="false">SUM(F4:F10)</f>
        <v>739710.54023448</v>
      </c>
      <c r="G11" s="24" t="n">
        <f aca="false">SUM(G4:G10)</f>
        <v>822921.236645165</v>
      </c>
    </row>
    <row r="12" customFormat="false" ht="15" hidden="false" customHeight="false" outlineLevel="0" collapsed="false">
      <c r="A12" s="2" t="s">
        <v>142</v>
      </c>
      <c r="C12" s="20" t="n">
        <f aca="false">C11/B11-1</f>
        <v>0.206255846051495</v>
      </c>
      <c r="D12" s="20" t="n">
        <f aca="false">D11/C11-1</f>
        <v>0.173435071890361</v>
      </c>
      <c r="E12" s="20" t="n">
        <f aca="false">E11/D11-1</f>
        <v>0.148868588475359</v>
      </c>
      <c r="F12" s="20" t="n">
        <f aca="false">F11/E11-1</f>
        <v>0.129183910044772</v>
      </c>
      <c r="G12" s="20" t="n">
        <f aca="false">G11/F11-1</f>
        <v>0.112490889185259</v>
      </c>
    </row>
    <row r="13" customFormat="false" ht="15" hidden="false" customHeight="false" outlineLevel="0" collapsed="false">
      <c r="A13" s="2" t="s">
        <v>143</v>
      </c>
      <c r="B13" s="20" t="n">
        <f aca="false">B8/B11</f>
        <v>0.14572927940899</v>
      </c>
      <c r="C13" s="20" t="n">
        <f aca="false">C8/C11</f>
        <v>0.202962903938251</v>
      </c>
      <c r="D13" s="20" t="n">
        <f aca="false">D8/D11</f>
        <v>0.250798887608126</v>
      </c>
      <c r="E13" s="20" t="n">
        <f aca="false">E8/E11</f>
        <v>0.290340012656689</v>
      </c>
      <c r="F13" s="20" t="n">
        <f aca="false">F8/F11</f>
        <v>0.321404699971744</v>
      </c>
      <c r="G13" s="20" t="n">
        <f aca="false">G8/G11</f>
        <v>0.346686560506175</v>
      </c>
    </row>
    <row r="15" customFormat="false" ht="15" hidden="false" customHeight="false" outlineLevel="0" collapsed="false">
      <c r="A15" s="3" t="s">
        <v>144</v>
      </c>
      <c r="B15" s="26" t="n">
        <f aca="false">Historicals!D17</f>
        <v>129039</v>
      </c>
      <c r="C15" s="25" t="n">
        <f aca="false">C11*Assumptions!B29</f>
        <v>165213.9152</v>
      </c>
      <c r="D15" s="25" t="n">
        <f aca="false">D11*Assumptions!C29</f>
        <v>185314.811175</v>
      </c>
      <c r="E15" s="25" t="n">
        <f aca="false">E11*Assumptions!D29</f>
        <v>219453.20755476</v>
      </c>
      <c r="F15" s="25" t="n">
        <f aca="false">F11*Assumptions!E29</f>
        <v>258898.689082068</v>
      </c>
      <c r="G15" s="25" t="n">
        <f aca="false">G11*Assumptions!F29</f>
        <v>296251.645192259</v>
      </c>
    </row>
    <row r="16" customFormat="false" ht="15" hidden="false" customHeight="false" outlineLevel="0" collapsed="false">
      <c r="A16" s="2" t="s">
        <v>145</v>
      </c>
      <c r="B16" s="20" t="n">
        <f aca="false">B15/B11</f>
        <v>0.3203263859238</v>
      </c>
      <c r="C16" s="20" t="n">
        <f aca="false">C15/C11</f>
        <v>0.34</v>
      </c>
      <c r="D16" s="20" t="n">
        <f aca="false">D15/D11</f>
        <v>0.325</v>
      </c>
      <c r="E16" s="20" t="n">
        <f aca="false">E15/E11</f>
        <v>0.335</v>
      </c>
      <c r="F16" s="20" t="n">
        <f aca="false">F15/F11</f>
        <v>0.35</v>
      </c>
      <c r="G16" s="20" t="n">
        <f aca="false">G15/G11</f>
        <v>0.36</v>
      </c>
    </row>
    <row r="17" customFormat="false" ht="15" hidden="false" customHeight="false" outlineLevel="0" collapsed="false">
      <c r="A17" s="23" t="s">
        <v>146</v>
      </c>
      <c r="C17" s="25" t="n">
        <f aca="false">-C15*Assumptions!$B$15</f>
        <v>-27260.296008</v>
      </c>
      <c r="D17" s="25" t="n">
        <f aca="false">-D15*Assumptions!$B$15</f>
        <v>-30576.943843875</v>
      </c>
      <c r="E17" s="25" t="n">
        <f aca="false">-E15*Assumptions!$B$15</f>
        <v>-36209.7792465354</v>
      </c>
      <c r="F17" s="25" t="n">
        <f aca="false">-F15*Assumptions!$B$15</f>
        <v>-42718.2836985412</v>
      </c>
      <c r="G17" s="25" t="n">
        <f aca="false">-G15*Assumptions!$B$15</f>
        <v>-48881.5214567228</v>
      </c>
    </row>
    <row r="18" customFormat="false" ht="15" hidden="false" customHeight="false" outlineLevel="0" collapsed="false">
      <c r="A18" s="3" t="s">
        <v>147</v>
      </c>
      <c r="C18" s="24" t="n">
        <f aca="false">C15+C17</f>
        <v>137953.619192</v>
      </c>
      <c r="D18" s="24" t="n">
        <f aca="false">D15+D17</f>
        <v>154737.867331125</v>
      </c>
      <c r="E18" s="24" t="n">
        <f aca="false">E15+E17</f>
        <v>183243.428308225</v>
      </c>
      <c r="F18" s="24" t="n">
        <f aca="false">F15+F17</f>
        <v>216180.405383527</v>
      </c>
      <c r="G18" s="24" t="n">
        <f aca="false">G15+G17</f>
        <v>247370.123735537</v>
      </c>
    </row>
    <row r="19" customFormat="false" ht="15" hidden="false" customHeight="false" outlineLevel="0" collapsed="false">
      <c r="A19" s="23" t="s">
        <v>148</v>
      </c>
      <c r="B19" s="26" t="n">
        <f aca="false">Historicals!D28</f>
        <v>21136</v>
      </c>
      <c r="C19" s="25" t="n">
        <f aca="false">C11*Assumptions!B30</f>
        <v>38873.8624</v>
      </c>
      <c r="D19" s="25" t="n">
        <f aca="false">D11*Assumptions!C30</f>
        <v>62721.93609</v>
      </c>
      <c r="E19" s="25" t="n">
        <f aca="false">E11*Assumptions!D30</f>
        <v>85160.94621528</v>
      </c>
      <c r="F19" s="25" t="n">
        <f aca="false">F11*Assumptions!E30</f>
        <v>103559.475632827</v>
      </c>
      <c r="G19" s="25" t="n">
        <f aca="false">G11*Assumptions!F30</f>
        <v>119323.579313549</v>
      </c>
    </row>
    <row r="20" customFormat="false" ht="15" hidden="false" customHeight="false" outlineLevel="0" collapsed="false">
      <c r="A20" s="23" t="s">
        <v>149</v>
      </c>
      <c r="B20" s="26" t="n">
        <f aca="false">-Historicals!D31</f>
        <v>-91447</v>
      </c>
      <c r="C20" s="25" t="n">
        <f aca="false">-C11*Assumptions!B31</f>
        <v>-199228.5448</v>
      </c>
      <c r="D20" s="25" t="n">
        <f aca="false">-D11*Assumptions!C31</f>
        <v>-262291.73274</v>
      </c>
      <c r="E20" s="25" t="n">
        <f aca="false">-E11*Assumptions!D31</f>
        <v>-248931.99662928</v>
      </c>
      <c r="F20" s="25" t="n">
        <f aca="false">-F11*Assumptions!E31</f>
        <v>-236707.372875034</v>
      </c>
      <c r="G20" s="25" t="n">
        <f aca="false">-G11*Assumptions!F31</f>
        <v>-213959.521527743</v>
      </c>
    </row>
    <row r="21" customFormat="false" ht="15" hidden="false" customHeight="false" outlineLevel="0" collapsed="false">
      <c r="A21" s="23" t="s">
        <v>150</v>
      </c>
      <c r="C21" s="25" t="n">
        <f aca="false">-(C11-B11)*Assumptions!B32</f>
        <v>-1661.7456</v>
      </c>
      <c r="D21" s="25" t="n">
        <f aca="false">-(D11-C11)*Assumptions!C32</f>
        <v>-1685.52278</v>
      </c>
      <c r="E21" s="25" t="n">
        <f aca="false">-(E11-D11)*Assumptions!D32</f>
        <v>-1697.69565312</v>
      </c>
      <c r="F21" s="25" t="n">
        <f aca="false">-(F11-E11)*Assumptions!E32</f>
        <v>-1692.5267715696</v>
      </c>
      <c r="G21" s="25" t="n">
        <f aca="false">-(G11-F11)*Assumptions!F32</f>
        <v>-1664.2139282137</v>
      </c>
    </row>
    <row r="22" customFormat="false" ht="15" hidden="false" customHeight="false" outlineLevel="0" collapsed="false">
      <c r="A22" s="3" t="s">
        <v>151</v>
      </c>
      <c r="C22" s="27" t="n">
        <f aca="false">C18+C19+C20+C21</f>
        <v>-24062.808808</v>
      </c>
      <c r="D22" s="27" t="n">
        <f aca="false">D18+D19+D20+D21</f>
        <v>-46517.452098875</v>
      </c>
      <c r="E22" s="27" t="n">
        <f aca="false">E18+E19+E20+E21</f>
        <v>17774.6822411046</v>
      </c>
      <c r="F22" s="27" t="n">
        <f aca="false">F18+F19+F20+F21</f>
        <v>81339.9813697508</v>
      </c>
      <c r="G22" s="27" t="n">
        <f aca="false">G18+G19+G20+G21</f>
        <v>151069.967593129</v>
      </c>
    </row>
    <row r="24" customFormat="false" ht="15" hidden="false" customHeight="false" outlineLevel="0" collapsed="false">
      <c r="A24" s="2" t="s">
        <v>152</v>
      </c>
      <c r="C24" s="28" t="n">
        <f aca="false">-C20/1000</f>
        <v>199.2285448</v>
      </c>
      <c r="D24" s="28" t="n">
        <f aca="false">-D20/1000</f>
        <v>262.29173274</v>
      </c>
      <c r="E24" s="28" t="n">
        <f aca="false">-E20/1000</f>
        <v>248.93199662928</v>
      </c>
      <c r="F24" s="28" t="n">
        <f aca="false">-F20/1000</f>
        <v>236.707372875034</v>
      </c>
      <c r="G24" s="28" t="n">
        <f aca="false">-G20/1000</f>
        <v>213.959521527743</v>
      </c>
    </row>
    <row r="25" customFormat="false" ht="15" hidden="false" customHeight="false" outlineLevel="0" collapsed="false">
      <c r="A25" s="2" t="s">
        <v>153</v>
      </c>
      <c r="C25" s="29" t="n">
        <f aca="false">C18/Assumptions!$B$6</f>
        <v>11.2799361563369</v>
      </c>
      <c r="D25" s="29" t="n">
        <f aca="false">D18/Assumptions!$B$6</f>
        <v>12.6523194874182</v>
      </c>
      <c r="E25" s="29" t="n">
        <f aca="false">E18/Assumptions!$B$6</f>
        <v>14.9831094283095</v>
      </c>
      <c r="F25" s="29" t="n">
        <f aca="false">F18/Assumptions!$B$6</f>
        <v>17.6762391973448</v>
      </c>
      <c r="G25" s="29" t="n">
        <f aca="false">G18/Assumptions!$B$6</f>
        <v>20.2265023495942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154</v>
      </c>
    </row>
    <row r="3" customFormat="false" ht="15" hidden="false" customHeight="false" outlineLevel="0" collapsed="false">
      <c r="A3" s="3" t="s">
        <v>155</v>
      </c>
    </row>
    <row r="4" customFormat="false" ht="15" hidden="false" customHeight="false" outlineLevel="0" collapsed="false">
      <c r="A4" s="2" t="s">
        <v>156</v>
      </c>
      <c r="B4" s="20" t="n">
        <f aca="false">Assumptions!B11+Assumptions!B12*Assumptions!B13</f>
        <v>0.09645</v>
      </c>
    </row>
    <row r="5" customFormat="false" ht="15" hidden="false" customHeight="false" outlineLevel="0" collapsed="false">
      <c r="A5" s="2" t="s">
        <v>157</v>
      </c>
      <c r="B5" s="20" t="n">
        <f aca="false">Assumptions!B14*(1-Assumptions!B15)</f>
        <v>0.04008</v>
      </c>
    </row>
    <row r="6" customFormat="false" ht="15" hidden="false" customHeight="false" outlineLevel="0" collapsed="false">
      <c r="A6" s="2" t="s">
        <v>158</v>
      </c>
      <c r="B6" s="25" t="n">
        <f aca="false">Assumptions!B5*Assumptions!B6</f>
        <v>4165415.7</v>
      </c>
    </row>
    <row r="7" customFormat="false" ht="15" hidden="false" customHeight="false" outlineLevel="0" collapsed="false">
      <c r="A7" s="2" t="s">
        <v>159</v>
      </c>
      <c r="B7" s="25" t="n">
        <f aca="false">Assumptions!B8</f>
        <v>98165</v>
      </c>
    </row>
    <row r="8" customFormat="false" ht="15" hidden="false" customHeight="false" outlineLevel="0" collapsed="false">
      <c r="A8" s="2" t="s">
        <v>160</v>
      </c>
      <c r="B8" s="20" t="n">
        <f aca="false">B6/(B6+B7)</f>
        <v>0.976975925423436</v>
      </c>
    </row>
    <row r="9" customFormat="false" ht="15" hidden="false" customHeight="false" outlineLevel="0" collapsed="false">
      <c r="A9" s="2" t="s">
        <v>161</v>
      </c>
      <c r="B9" s="20" t="n">
        <f aca="false">B7/(B6+B7)</f>
        <v>0.0230240745765643</v>
      </c>
    </row>
    <row r="10" customFormat="false" ht="15" hidden="false" customHeight="false" outlineLevel="0" collapsed="false">
      <c r="A10" s="3" t="s">
        <v>155</v>
      </c>
      <c r="B10" s="30" t="n">
        <f aca="false">B8*B4+B9*B5</f>
        <v>0.0951521329161191</v>
      </c>
    </row>
    <row r="12" customFormat="false" ht="15" hidden="false" customHeight="false" outlineLevel="0" collapsed="false">
      <c r="A12" s="16" t="s">
        <v>162</v>
      </c>
      <c r="B12" s="17" t="s">
        <v>56</v>
      </c>
      <c r="C12" s="17" t="s">
        <v>57</v>
      </c>
      <c r="D12" s="17" t="s">
        <v>58</v>
      </c>
      <c r="E12" s="17" t="s">
        <v>59</v>
      </c>
      <c r="F12" s="17" t="s">
        <v>60</v>
      </c>
    </row>
    <row r="13" customFormat="false" ht="15" hidden="false" customHeight="false" outlineLevel="0" collapsed="false">
      <c r="A13" s="2" t="s">
        <v>163</v>
      </c>
      <c r="B13" s="26" t="n">
        <f aca="false">Projections!C22</f>
        <v>-24062.808808</v>
      </c>
      <c r="C13" s="26" t="n">
        <f aca="false">Projections!D22</f>
        <v>-46517.452098875</v>
      </c>
      <c r="D13" s="26" t="n">
        <f aca="false">Projections!E22</f>
        <v>17774.6822411046</v>
      </c>
      <c r="E13" s="26" t="n">
        <f aca="false">Projections!F22</f>
        <v>81339.9813697508</v>
      </c>
      <c r="F13" s="26" t="n">
        <f aca="false">Projections!G22</f>
        <v>151069.967593129</v>
      </c>
    </row>
    <row r="14" customFormat="false" ht="15" hidden="false" customHeight="false" outlineLevel="0" collapsed="false">
      <c r="A14" s="2" t="s">
        <v>164</v>
      </c>
      <c r="B14" s="15" t="n">
        <f aca="false">Assumptions!B20</f>
        <v>0.208219178082192</v>
      </c>
      <c r="C14" s="15" t="n">
        <v>1</v>
      </c>
      <c r="D14" s="15" t="n">
        <v>1</v>
      </c>
      <c r="E14" s="15" t="n">
        <v>1</v>
      </c>
      <c r="F14" s="15" t="n">
        <v>1</v>
      </c>
    </row>
    <row r="15" customFormat="false" ht="15" hidden="false" customHeight="false" outlineLevel="0" collapsed="false">
      <c r="A15" s="2" t="s">
        <v>165</v>
      </c>
      <c r="B15" s="25" t="n">
        <f aca="false">B13*B14</f>
        <v>-5010.33827235068</v>
      </c>
      <c r="C15" s="25" t="n">
        <f aca="false">C13*C14</f>
        <v>-46517.452098875</v>
      </c>
      <c r="D15" s="25" t="n">
        <f aca="false">D13*D14</f>
        <v>17774.6822411046</v>
      </c>
      <c r="E15" s="25" t="n">
        <f aca="false">E13*E14</f>
        <v>81339.9813697508</v>
      </c>
      <c r="F15" s="25" t="n">
        <f aca="false">F13*F14</f>
        <v>151069.967593129</v>
      </c>
    </row>
    <row r="16" customFormat="false" ht="15" hidden="false" customHeight="false" outlineLevel="0" collapsed="false">
      <c r="A16" s="2" t="s">
        <v>166</v>
      </c>
      <c r="B16" s="15" t="n">
        <f aca="false">B14/2</f>
        <v>0.104109589041096</v>
      </c>
      <c r="C16" s="15" t="n">
        <f aca="false">$B$14+0.5</f>
        <v>0.708219178082192</v>
      </c>
      <c r="D16" s="15" t="n">
        <f aca="false">C16+1</f>
        <v>1.70821917808219</v>
      </c>
      <c r="E16" s="15" t="n">
        <f aca="false">D16+1</f>
        <v>2.70821917808219</v>
      </c>
      <c r="F16" s="15" t="n">
        <f aca="false">E16+1</f>
        <v>3.70821917808219</v>
      </c>
    </row>
    <row r="17" customFormat="false" ht="15" hidden="false" customHeight="false" outlineLevel="0" collapsed="false">
      <c r="A17" s="2" t="s">
        <v>167</v>
      </c>
      <c r="B17" s="31" t="n">
        <f aca="false">1/(1+$B$10)^B16</f>
        <v>0.990581769155256</v>
      </c>
      <c r="C17" s="31" t="n">
        <f aca="false">1/(1+$B$10)^C16</f>
        <v>0.937655780035423</v>
      </c>
      <c r="D17" s="31" t="n">
        <f aca="false">1/(1+$B$10)^D16</f>
        <v>0.856187694707472</v>
      </c>
      <c r="E17" s="31" t="n">
        <f aca="false">1/(1+$B$10)^E16</f>
        <v>0.781797952059552</v>
      </c>
      <c r="F17" s="31" t="n">
        <f aca="false">1/(1+$B$10)^F16</f>
        <v>0.713871551323027</v>
      </c>
    </row>
    <row r="18" customFormat="false" ht="15" hidden="false" customHeight="false" outlineLevel="0" collapsed="false">
      <c r="A18" s="2" t="s">
        <v>168</v>
      </c>
      <c r="B18" s="25" t="n">
        <f aca="false">B15*B17</f>
        <v>-4963.14974989143</v>
      </c>
      <c r="C18" s="25" t="n">
        <f aca="false">C15*C17</f>
        <v>-43617.3578330311</v>
      </c>
      <c r="D18" s="25" t="n">
        <f aca="false">D15*D17</f>
        <v>15218.4642121692</v>
      </c>
      <c r="E18" s="25" t="n">
        <f aca="false">E15*E17</f>
        <v>63591.4308554333</v>
      </c>
      <c r="F18" s="25" t="n">
        <f aca="false">F15*F17</f>
        <v>107844.552124026</v>
      </c>
    </row>
    <row r="20" customFormat="false" ht="15" hidden="false" customHeight="false" outlineLevel="0" collapsed="false">
      <c r="A20" s="3" t="s">
        <v>49</v>
      </c>
    </row>
    <row r="21" customFormat="false" ht="15" hidden="false" customHeight="false" outlineLevel="0" collapsed="false">
      <c r="A21" s="2" t="s">
        <v>169</v>
      </c>
      <c r="B21" s="25" t="n">
        <f aca="false">Projections!G18*(1+Assumptions!B18)</f>
        <v>254791.227447603</v>
      </c>
    </row>
    <row r="22" customFormat="false" ht="15" hidden="false" customHeight="false" outlineLevel="0" collapsed="false">
      <c r="A22" s="2" t="s">
        <v>170</v>
      </c>
      <c r="B22" s="25" t="n">
        <f aca="false">Projections!G19*(1+Assumptions!B18)</f>
        <v>122903.286692955</v>
      </c>
    </row>
    <row r="23" customFormat="false" ht="15" hidden="false" customHeight="false" outlineLevel="0" collapsed="false">
      <c r="A23" s="2" t="s">
        <v>171</v>
      </c>
      <c r="B23" s="25" t="n">
        <f aca="false">-B22*Assumptions!B19</f>
        <v>-135193.615362251</v>
      </c>
    </row>
    <row r="24" customFormat="false" ht="15" hidden="false" customHeight="false" outlineLevel="0" collapsed="false">
      <c r="A24" s="2" t="s">
        <v>172</v>
      </c>
      <c r="B24" s="25" t="n">
        <f aca="false">-Projections!G11*Assumptions!B18*Assumptions!F32</f>
        <v>-493.752741987099</v>
      </c>
    </row>
    <row r="25" customFormat="false" ht="15" hidden="false" customHeight="false" outlineLevel="0" collapsed="false">
      <c r="A25" s="2" t="s">
        <v>173</v>
      </c>
      <c r="B25" s="25" t="n">
        <f aca="false">SUM(B21:B24)</f>
        <v>242007.14603632</v>
      </c>
    </row>
    <row r="26" customFormat="false" ht="15" hidden="false" customHeight="false" outlineLevel="0" collapsed="false">
      <c r="A26" s="2" t="s">
        <v>174</v>
      </c>
      <c r="B26" s="25" t="n">
        <f aca="false">B25/(B10-Assumptions!B18)</f>
        <v>3714493.06729367</v>
      </c>
    </row>
    <row r="27" customFormat="false" ht="15" hidden="false" customHeight="false" outlineLevel="0" collapsed="false">
      <c r="A27" s="2" t="s">
        <v>175</v>
      </c>
      <c r="B27" s="15" t="n">
        <f aca="false">Assumptions!B20+4</f>
        <v>4.20821917808219</v>
      </c>
    </row>
    <row r="28" customFormat="false" ht="15" hidden="false" customHeight="false" outlineLevel="0" collapsed="false">
      <c r="A28" s="2" t="s">
        <v>176</v>
      </c>
      <c r="B28" s="25" t="n">
        <f aca="false">B26/(1+B10)^B27</f>
        <v>2533858.74481624</v>
      </c>
    </row>
    <row r="30" customFormat="false" ht="15" hidden="false" customHeight="false" outlineLevel="0" collapsed="false">
      <c r="A30" s="3" t="s">
        <v>177</v>
      </c>
    </row>
    <row r="31" customFormat="false" ht="15" hidden="false" customHeight="false" outlineLevel="0" collapsed="false">
      <c r="A31" s="2" t="s">
        <v>178</v>
      </c>
      <c r="B31" s="25" t="n">
        <f aca="false">SUM(B18:F18)</f>
        <v>138073.939608706</v>
      </c>
    </row>
    <row r="32" customFormat="false" ht="15" hidden="false" customHeight="false" outlineLevel="0" collapsed="false">
      <c r="A32" s="2" t="s">
        <v>176</v>
      </c>
      <c r="B32" s="25" t="n">
        <f aca="false">B28</f>
        <v>2533858.74481624</v>
      </c>
    </row>
    <row r="33" customFormat="false" ht="15" hidden="false" customHeight="false" outlineLevel="0" collapsed="false">
      <c r="A33" s="3" t="s">
        <v>179</v>
      </c>
      <c r="B33" s="25" t="n">
        <f aca="false">B31+B32</f>
        <v>2671932.68442494</v>
      </c>
    </row>
    <row r="34" customFormat="false" ht="15" hidden="false" customHeight="false" outlineLevel="0" collapsed="false">
      <c r="A34" s="2" t="s">
        <v>180</v>
      </c>
      <c r="B34" s="25" t="n">
        <f aca="false">Assumptions!B7</f>
        <v>242474</v>
      </c>
    </row>
    <row r="35" customFormat="false" ht="15" hidden="false" customHeight="false" outlineLevel="0" collapsed="false">
      <c r="A35" s="2" t="s">
        <v>181</v>
      </c>
      <c r="B35" s="25" t="n">
        <f aca="false">-Assumptions!B8</f>
        <v>-98165</v>
      </c>
    </row>
    <row r="36" customFormat="false" ht="15" hidden="false" customHeight="false" outlineLevel="0" collapsed="false">
      <c r="A36" s="3" t="s">
        <v>182</v>
      </c>
      <c r="B36" s="25" t="n">
        <f aca="false">SUM(B33:B35)</f>
        <v>2816241.68442494</v>
      </c>
    </row>
    <row r="37" customFormat="false" ht="15" hidden="false" customHeight="false" outlineLevel="0" collapsed="false">
      <c r="A37" s="2" t="s">
        <v>32</v>
      </c>
      <c r="B37" s="32" t="n">
        <f aca="false">Assumptions!B6</f>
        <v>12230</v>
      </c>
    </row>
    <row r="38" customFormat="false" ht="15" hidden="false" customHeight="false" outlineLevel="0" collapsed="false">
      <c r="A38" s="3" t="s">
        <v>183</v>
      </c>
      <c r="B38" s="33" t="n">
        <f aca="false">B36/B37</f>
        <v>230.273236665981</v>
      </c>
    </row>
    <row r="39" customFormat="false" ht="15" hidden="false" customHeight="false" outlineLevel="0" collapsed="false">
      <c r="A39" s="2" t="s">
        <v>184</v>
      </c>
      <c r="B39" s="29" t="n">
        <f aca="false">Assumptions!B5</f>
        <v>340.59</v>
      </c>
    </row>
    <row r="40" customFormat="false" ht="15" hidden="false" customHeight="false" outlineLevel="0" collapsed="false">
      <c r="A40" s="2" t="s">
        <v>185</v>
      </c>
      <c r="B40" s="30" t="n">
        <f aca="false">B38/B39-1</f>
        <v>-0.323899008585159</v>
      </c>
    </row>
    <row r="41" customFormat="false" ht="15" hidden="false" customHeight="false" outlineLevel="0" collapsed="false">
      <c r="A41" s="2" t="s">
        <v>186</v>
      </c>
      <c r="B41" s="20" t="n">
        <f aca="false">B32/B33</f>
        <v>0.948324319540849</v>
      </c>
    </row>
    <row r="42" customFormat="false" ht="15" hidden="false" customHeight="false" outlineLevel="0" collapsed="false">
      <c r="A42" s="2" t="s">
        <v>187</v>
      </c>
      <c r="B42" s="34" t="n">
        <f aca="false">B33/(Projections!D15+Projections!D19)</f>
        <v>10.7723259310858</v>
      </c>
    </row>
    <row r="44" customFormat="false" ht="15" hidden="false" customHeight="false" outlineLevel="0" collapsed="false">
      <c r="A44" s="4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4" t="s">
        <v>190</v>
      </c>
    </row>
    <row r="4" customFormat="false" ht="15" hidden="false" customHeight="false" outlineLevel="0" collapsed="false">
      <c r="A4" s="3" t="s">
        <v>191</v>
      </c>
      <c r="B4" s="35" t="n">
        <v>0.02</v>
      </c>
      <c r="C4" s="35" t="n">
        <v>0.025</v>
      </c>
      <c r="D4" s="35" t="n">
        <v>0.03</v>
      </c>
      <c r="E4" s="35" t="n">
        <v>0.035</v>
      </c>
      <c r="F4" s="35" t="n">
        <v>0.04</v>
      </c>
    </row>
    <row r="5" customFormat="false" ht="15" hidden="false" customHeight="false" outlineLevel="0" collapsed="false">
      <c r="A5" s="35" t="n">
        <v>0.08</v>
      </c>
      <c r="B5" s="29" t="n">
        <f aca="false">(SUMPRODUCT(DCF!$B$15:$F$15/(1+$A5)^DCF!$B$16:$F$16)+(Projections!$G$18*(1+B$4)+Projections!$G$19*(1+B$4)*(1-Assumptions!$B$19)-Projections!$G$11*B$4*Assumptions!$F$32)/($A5-B$4)/(1+$A5)^DCF!$B$27+Assumptions!$B$7-Assumptions!$B$8)/Assumptions!$B$6</f>
        <v>260.151376902287</v>
      </c>
      <c r="C5" s="29" t="n">
        <f aca="false">(SUMPRODUCT(DCF!$B$15:$F$15/(1+$A5)^DCF!$B$16:$F$16)+(Projections!$G$18*(1+C$4)+Projections!$G$19*(1+C$4)*(1-Assumptions!$B$19)-Projections!$G$11*C$4*Assumptions!$F$32)/($A5-C$4)/(1+$A5)^DCF!$B$27+Assumptions!$B$7-Assumptions!$B$8)/Assumptions!$B$6</f>
        <v>282.819747171533</v>
      </c>
      <c r="D5" s="29" t="n">
        <f aca="false">(SUMPRODUCT(DCF!$B$15:$F$15/(1+$A5)^DCF!$B$16:$F$16)+(Projections!$G$18*(1+D$4)+Projections!$G$19*(1+D$4)*(1-Assumptions!$B$19)-Projections!$G$11*D$4*Assumptions!$F$32)/($A5-D$4)/(1+$A5)^DCF!$B$27+Assumptions!$B$7-Assumptions!$B$8)/Assumptions!$B$6</f>
        <v>310.021791494627</v>
      </c>
      <c r="E5" s="29" t="n">
        <f aca="false">(SUMPRODUCT(DCF!$B$15:$F$15/(1+$A5)^DCF!$B$16:$F$16)+(Projections!$G$18*(1+E$4)+Projections!$G$19*(1+E$4)*(1-Assumptions!$B$19)-Projections!$G$11*E$4*Assumptions!$F$32)/($A5-E$4)/(1+$A5)^DCF!$B$27+Assumptions!$B$7-Assumptions!$B$8)/Assumptions!$B$6</f>
        <v>343.268734556188</v>
      </c>
      <c r="F5" s="29" t="n">
        <f aca="false">(SUMPRODUCT(DCF!$B$15:$F$15/(1+$A5)^DCF!$B$16:$F$16)+(Projections!$G$18*(1+F$4)+Projections!$G$19*(1+F$4)*(1-Assumptions!$B$19)-Projections!$G$11*F$4*Assumptions!$F$32)/($A5-F$4)/(1+$A5)^DCF!$B$27+Assumptions!$B$7-Assumptions!$B$8)/Assumptions!$B$6</f>
        <v>384.827413383138</v>
      </c>
    </row>
    <row r="6" customFormat="false" ht="15" hidden="false" customHeight="false" outlineLevel="0" collapsed="false">
      <c r="A6" s="35" t="n">
        <v>0.085</v>
      </c>
      <c r="B6" s="29" t="n">
        <f aca="false">(SUMPRODUCT(DCF!$B$15:$F$15/(1+$A6)^DCF!$B$16:$F$16)+(Projections!$G$18*(1+B$4)+Projections!$G$19*(1+B$4)*(1-Assumptions!$B$19)-Projections!$G$11*B$4*Assumptions!$F$32)/($A6-B$4)/(1+$A6)^DCF!$B$27+Assumptions!$B$7-Assumptions!$B$8)/Assumptions!$B$6</f>
        <v>237.543231317639</v>
      </c>
      <c r="C6" s="29" t="n">
        <f aca="false">(SUMPRODUCT(DCF!$B$15:$F$15/(1+$A6)^DCF!$B$16:$F$16)+(Projections!$G$18*(1+C$4)+Projections!$G$19*(1+C$4)*(1-Assumptions!$B$19)-Projections!$G$11*C$4*Assumptions!$F$32)/($A6-C$4)/(1+$A6)^DCF!$B$27+Assumptions!$B$7-Assumptions!$B$8)/Assumptions!$B$6</f>
        <v>256.436354755841</v>
      </c>
      <c r="D6" s="29" t="n">
        <f aca="false">(SUMPRODUCT(DCF!$B$15:$F$15/(1+$A6)^DCF!$B$16:$F$16)+(Projections!$G$18*(1+D$4)+Projections!$G$19*(1+D$4)*(1-Assumptions!$B$19)-Projections!$G$11*D$4*Assumptions!$F$32)/($A6-D$4)/(1+$A6)^DCF!$B$27+Assumptions!$B$7-Assumptions!$B$8)/Assumptions!$B$6</f>
        <v>278.764591546442</v>
      </c>
      <c r="E6" s="29" t="n">
        <f aca="false">(SUMPRODUCT(DCF!$B$15:$F$15/(1+$A6)^DCF!$B$16:$F$16)+(Projections!$G$18*(1+E$4)+Projections!$G$19*(1+E$4)*(1-Assumptions!$B$19)-Projections!$G$11*E$4*Assumptions!$F$32)/($A6-E$4)/(1+$A6)^DCF!$B$27+Assumptions!$B$7-Assumptions!$B$8)/Assumptions!$B$6</f>
        <v>305.558475695164</v>
      </c>
      <c r="F6" s="29" t="n">
        <f aca="false">(SUMPRODUCT(DCF!$B$15:$F$15/(1+$A6)^DCF!$B$16:$F$16)+(Projections!$G$18*(1+F$4)+Projections!$G$19*(1+F$4)*(1-Assumptions!$B$19)-Projections!$G$11*F$4*Assumptions!$F$32)/($A6-F$4)/(1+$A6)^DCF!$B$27+Assumptions!$B$7-Assumptions!$B$8)/Assumptions!$B$6</f>
        <v>338.306556321379</v>
      </c>
    </row>
    <row r="7" customFormat="false" ht="15" hidden="false" customHeight="false" outlineLevel="0" collapsed="false">
      <c r="A7" s="35" t="n">
        <v>0.09</v>
      </c>
      <c r="B7" s="29" t="n">
        <f aca="false">(SUMPRODUCT(DCF!$B$15:$F$15/(1+$A7)^DCF!$B$16:$F$16)+(Projections!$G$18*(1+B$4)+Projections!$G$19*(1+B$4)*(1-Assumptions!$B$19)-Projections!$G$11*B$4*Assumptions!$F$32)/($A7-B$4)/(1+$A7)^DCF!$B$27+Assumptions!$B$7-Assumptions!$B$8)/Assumptions!$B$6</f>
        <v>218.230039604174</v>
      </c>
      <c r="C7" s="29" t="n">
        <f aca="false">(SUMPRODUCT(DCF!$B$15:$F$15/(1+$A7)^DCF!$B$16:$F$16)+(Projections!$G$18*(1+C$4)+Projections!$G$19*(1+C$4)*(1-Assumptions!$B$19)-Projections!$G$11*C$4*Assumptions!$F$32)/($A7-C$4)/(1+$A7)^DCF!$B$27+Assumptions!$B$7-Assumptions!$B$8)/Assumptions!$B$6</f>
        <v>234.182286006858</v>
      </c>
      <c r="D7" s="29" t="n">
        <f aca="false">(SUMPRODUCT(DCF!$B$15:$F$15/(1+$A7)^DCF!$B$16:$F$16)+(Projections!$G$18*(1+D$4)+Projections!$G$19*(1+D$4)*(1-Assumptions!$B$19)-Projections!$G$11*D$4*Assumptions!$F$32)/($A7-D$4)/(1+$A7)^DCF!$B$27+Assumptions!$B$7-Assumptions!$B$8)/Assumptions!$B$6</f>
        <v>252.793240143322</v>
      </c>
      <c r="E7" s="29" t="n">
        <f aca="false">(SUMPRODUCT(DCF!$B$15:$F$15/(1+$A7)^DCF!$B$16:$F$16)+(Projections!$G$18*(1+E$4)+Projections!$G$19*(1+E$4)*(1-Assumptions!$B$19)-Projections!$G$11*E$4*Assumptions!$F$32)/($A7-E$4)/(1+$A7)^DCF!$B$27+Assumptions!$B$7-Assumptions!$B$8)/Assumptions!$B$6</f>
        <v>274.788004122779</v>
      </c>
      <c r="F7" s="29" t="n">
        <f aca="false">(SUMPRODUCT(DCF!$B$15:$F$15/(1+$A7)^DCF!$B$16:$F$16)+(Projections!$G$18*(1+F$4)+Projections!$G$19*(1+F$4)*(1-Assumptions!$B$19)-Projections!$G$11*F$4*Assumptions!$F$32)/($A7-F$4)/(1+$A7)^DCF!$B$27+Assumptions!$B$7-Assumptions!$B$8)/Assumptions!$B$6</f>
        <v>301.181720898128</v>
      </c>
    </row>
    <row r="8" customFormat="false" ht="15" hidden="false" customHeight="false" outlineLevel="0" collapsed="false">
      <c r="A8" s="35" t="n">
        <v>0.095</v>
      </c>
      <c r="B8" s="29" t="n">
        <f aca="false">(SUMPRODUCT(DCF!$B$15:$F$15/(1+$A8)^DCF!$B$16:$F$16)+(Projections!$G$18*(1+B$4)+Projections!$G$19*(1+B$4)*(1-Assumptions!$B$19)-Projections!$G$11*B$4*Assumptions!$F$32)/($A8-B$4)/(1+$A8)^DCF!$B$27+Assumptions!$B$7-Assumptions!$B$8)/Assumptions!$B$6</f>
        <v>201.551178977934</v>
      </c>
      <c r="C8" s="29" t="n">
        <f aca="false">(SUMPRODUCT(DCF!$B$15:$F$15/(1+$A8)^DCF!$B$16:$F$16)+(Projections!$G$18*(1+C$4)+Projections!$G$19*(1+C$4)*(1-Assumptions!$B$19)-Projections!$G$11*C$4*Assumptions!$F$32)/($A8-C$4)/(1+$A8)^DCF!$B$27+Assumptions!$B$7-Assumptions!$B$8)/Assumptions!$B$6</f>
        <v>215.170933456353</v>
      </c>
      <c r="D8" s="29" t="n">
        <f aca="false">(SUMPRODUCT(DCF!$B$15:$F$15/(1+$A8)^DCF!$B$16:$F$16)+(Projections!$G$18*(1+D$4)+Projections!$G$19*(1+D$4)*(1-Assumptions!$B$19)-Projections!$G$11*D$4*Assumptions!$F$32)/($A8-D$4)/(1+$A8)^DCF!$B$27+Assumptions!$B$7-Assumptions!$B$8)/Assumptions!$B$6</f>
        <v>230.886034777605</v>
      </c>
      <c r="E8" s="29" t="n">
        <f aca="false">(SUMPRODUCT(DCF!$B$15:$F$15/(1+$A8)^DCF!$B$16:$F$16)+(Projections!$G$18*(1+E$4)+Projections!$G$19*(1+E$4)*(1-Assumptions!$B$19)-Projections!$G$11*E$4*Assumptions!$F$32)/($A8-E$4)/(1+$A8)^DCF!$B$27+Assumptions!$B$7-Assumptions!$B$8)/Assumptions!$B$6</f>
        <v>249.220319652399</v>
      </c>
      <c r="F8" s="29" t="n">
        <f aca="false">(SUMPRODUCT(DCF!$B$15:$F$15/(1+$A8)^DCF!$B$16:$F$16)+(Projections!$G$18*(1+F$4)+Projections!$G$19*(1+F$4)*(1-Assumptions!$B$19)-Projections!$G$11*F$4*Assumptions!$F$32)/($A8-F$4)/(1+$A8)^DCF!$B$27+Assumptions!$B$7-Assumptions!$B$8)/Assumptions!$B$6</f>
        <v>270.888110868066</v>
      </c>
    </row>
    <row r="9" customFormat="false" ht="15" hidden="false" customHeight="false" outlineLevel="0" collapsed="false">
      <c r="A9" s="35" t="n">
        <v>0.1</v>
      </c>
      <c r="B9" s="29" t="n">
        <f aca="false">(SUMPRODUCT(DCF!$B$15:$F$15/(1+$A9)^DCF!$B$16:$F$16)+(Projections!$G$18*(1+B$4)+Projections!$G$19*(1+B$4)*(1-Assumptions!$B$19)-Projections!$G$11*B$4*Assumptions!$F$32)/($A9-B$4)/(1+$A9)^DCF!$B$27+Assumptions!$B$7-Assumptions!$B$8)/Assumptions!$B$6</f>
        <v>187.011231504534</v>
      </c>
      <c r="C9" s="29" t="n">
        <f aca="false">(SUMPRODUCT(DCF!$B$15:$F$15/(1+$A9)^DCF!$B$16:$F$16)+(Projections!$G$18*(1+C$4)+Projections!$G$19*(1+C$4)*(1-Assumptions!$B$19)-Projections!$G$11*C$4*Assumptions!$F$32)/($A9-C$4)/(1+$A9)^DCF!$B$27+Assumptions!$B$7-Assumptions!$B$8)/Assumptions!$B$6</f>
        <v>198.752170864783</v>
      </c>
      <c r="D9" s="29" t="n">
        <f aca="false">(SUMPRODUCT(DCF!$B$15:$F$15/(1+$A9)^DCF!$B$16:$F$16)+(Projections!$G$18*(1+D$4)+Projections!$G$19*(1+D$4)*(1-Assumptions!$B$19)-Projections!$G$11*D$4*Assumptions!$F$32)/($A9-D$4)/(1+$A9)^DCF!$B$27+Assumptions!$B$7-Assumptions!$B$8)/Assumptions!$B$6</f>
        <v>212.170387276497</v>
      </c>
      <c r="E9" s="29" t="n">
        <f aca="false">(SUMPRODUCT(DCF!$B$15:$F$15/(1+$A9)^DCF!$B$16:$F$16)+(Projections!$G$18*(1+E$4)+Projections!$G$19*(1+E$4)*(1-Assumptions!$B$19)-Projections!$G$11*E$4*Assumptions!$F$32)/($A9-E$4)/(1+$A9)^DCF!$B$27+Assumptions!$B$7-Assumptions!$B$8)/Assumptions!$B$6</f>
        <v>227.652944674627</v>
      </c>
      <c r="F9" s="29" t="n">
        <f aca="false">(SUMPRODUCT(DCF!$B$15:$F$15/(1+$A9)^DCF!$B$16:$F$16)+(Projections!$G$18*(1+F$4)+Projections!$G$19*(1+F$4)*(1-Assumptions!$B$19)-Projections!$G$11*F$4*Assumptions!$F$32)/($A9-F$4)/(1+$A9)^DCF!$B$27+Assumptions!$B$7-Assumptions!$B$8)/Assumptions!$B$6</f>
        <v>245.71592830578</v>
      </c>
    </row>
    <row r="10" customFormat="false" ht="15" hidden="false" customHeight="false" outlineLevel="0" collapsed="false">
      <c r="A10" s="35" t="n">
        <v>0.105</v>
      </c>
      <c r="B10" s="29" t="n">
        <f aca="false">(SUMPRODUCT(DCF!$B$15:$F$15/(1+$A10)^DCF!$B$16:$F$16)+(Projections!$G$18*(1+B$4)+Projections!$G$19*(1+B$4)*(1-Assumptions!$B$19)-Projections!$G$11*B$4*Assumptions!$F$32)/($A10-B$4)/(1+$A10)^DCF!$B$27+Assumptions!$B$7-Assumptions!$B$8)/Assumptions!$B$6</f>
        <v>174.231392728723</v>
      </c>
      <c r="C10" s="29" t="n">
        <f aca="false">(SUMPRODUCT(DCF!$B$15:$F$15/(1+$A10)^DCF!$B$16:$F$16)+(Projections!$G$18*(1+C$4)+Projections!$G$19*(1+C$4)*(1-Assumptions!$B$19)-Projections!$G$11*C$4*Assumptions!$F$32)/($A10-C$4)/(1+$A10)^DCF!$B$27+Assumptions!$B$7-Assumptions!$B$8)/Assumptions!$B$6</f>
        <v>184.438451016249</v>
      </c>
      <c r="D10" s="29" t="n">
        <f aca="false">(SUMPRODUCT(DCF!$B$15:$F$15/(1+$A10)^DCF!$B$16:$F$16)+(Projections!$G$18*(1+D$4)+Projections!$G$19*(1+D$4)*(1-Assumptions!$B$19)-Projections!$G$11*D$4*Assumptions!$F$32)/($A10-D$4)/(1+$A10)^DCF!$B$27+Assumptions!$B$7-Assumptions!$B$8)/Assumptions!$B$6</f>
        <v>196.006450408778</v>
      </c>
      <c r="E10" s="29" t="n">
        <f aca="false">(SUMPRODUCT(DCF!$B$15:$F$15/(1+$A10)^DCF!$B$16:$F$16)+(Projections!$G$18*(1+E$4)+Projections!$G$19*(1+E$4)*(1-Assumptions!$B$19)-Projections!$G$11*E$4*Assumptions!$F$32)/($A10-E$4)/(1+$A10)^DCF!$B$27+Assumptions!$B$7-Assumptions!$B$8)/Assumptions!$B$6</f>
        <v>209.227021143097</v>
      </c>
      <c r="F10" s="29" t="n">
        <f aca="false">(SUMPRODUCT(DCF!$B$15:$F$15/(1+$A10)^DCF!$B$16:$F$16)+(Projections!$G$18*(1+F$4)+Projections!$G$19*(1+F$4)*(1-Assumptions!$B$19)-Projections!$G$11*F$4*Assumptions!$F$32)/($A10-F$4)/(1+$A10)^DCF!$B$27+Assumptions!$B$7-Assumptions!$B$8)/Assumptions!$B$6</f>
        <v>224.481525836542</v>
      </c>
    </row>
    <row r="11" customFormat="false" ht="15" hidden="false" customHeight="false" outlineLevel="0" collapsed="false">
      <c r="A11" s="35" t="n">
        <v>0.11</v>
      </c>
      <c r="B11" s="29" t="n">
        <f aca="false">(SUMPRODUCT(DCF!$B$15:$F$15/(1+$A11)^DCF!$B$16:$F$16)+(Projections!$G$18*(1+B$4)+Projections!$G$19*(1+B$4)*(1-Assumptions!$B$19)-Projections!$G$11*B$4*Assumptions!$F$32)/($A11-B$4)/(1+$A11)^DCF!$B$27+Assumptions!$B$7-Assumptions!$B$8)/Assumptions!$B$6</f>
        <v>162.917077494379</v>
      </c>
      <c r="C11" s="29" t="n">
        <f aca="false">(SUMPRODUCT(DCF!$B$15:$F$15/(1+$A11)^DCF!$B$16:$F$16)+(Projections!$G$18*(1+C$4)+Projections!$G$19*(1+C$4)*(1-Assumptions!$B$19)-Projections!$G$11*C$4*Assumptions!$F$32)/($A11-C$4)/(1+$A11)^DCF!$B$27+Assumptions!$B$7-Assumptions!$B$8)/Assumptions!$B$6</f>
        <v>171.856986715768</v>
      </c>
      <c r="D11" s="29" t="n">
        <f aca="false">(SUMPRODUCT(DCF!$B$15:$F$15/(1+$A11)^DCF!$B$16:$F$16)+(Projections!$G$18*(1+D$4)+Projections!$G$19*(1+D$4)*(1-Assumptions!$B$19)-Projections!$G$11*D$4*Assumptions!$F$32)/($A11-D$4)/(1+$A11)^DCF!$B$27+Assumptions!$B$7-Assumptions!$B$8)/Assumptions!$B$6</f>
        <v>181.91438458983</v>
      </c>
      <c r="E11" s="29" t="n">
        <f aca="false">(SUMPRODUCT(DCF!$B$15:$F$15/(1+$A11)^DCF!$B$16:$F$16)+(Projections!$G$18*(1+E$4)+Projections!$G$19*(1+E$4)*(1-Assumptions!$B$19)-Projections!$G$11*E$4*Assumptions!$F$32)/($A11-E$4)/(1+$A11)^DCF!$B$27+Assumptions!$B$7-Assumptions!$B$8)/Assumptions!$B$6</f>
        <v>193.3127688471</v>
      </c>
      <c r="F11" s="29" t="n">
        <f aca="false">(SUMPRODUCT(DCF!$B$15:$F$15/(1+$A11)^DCF!$B$16:$F$16)+(Projections!$G$18*(1+F$4)+Projections!$G$19*(1+F$4)*(1-Assumptions!$B$19)-Projections!$G$11*F$4*Assumptions!$F$32)/($A11-F$4)/(1+$A11)^DCF!$B$27+Assumptions!$B$7-Assumptions!$B$8)/Assumptions!$B$6</f>
        <v>206.339493712552</v>
      </c>
    </row>
    <row r="13" customFormat="false" ht="15" hidden="false" customHeight="false" outlineLevel="0" collapsed="false">
      <c r="A13" s="0" t="s">
        <v>192</v>
      </c>
      <c r="B13" s="19" t="n">
        <f aca="false">Assumptions!B5</f>
        <v>340.59</v>
      </c>
    </row>
    <row r="14" customFormat="false" ht="15" hidden="false" customHeight="false" outlineLevel="0" collapsed="false">
      <c r="A14" s="0" t="s">
        <v>193</v>
      </c>
      <c r="B14" s="36" t="n">
        <f aca="false">DCF!B10</f>
        <v>0.0951521329161191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194</v>
      </c>
    </row>
    <row r="2" customFormat="false" ht="15" hidden="false" customHeight="false" outlineLevel="0" collapsed="false">
      <c r="A2" s="4" t="s">
        <v>195</v>
      </c>
    </row>
    <row r="4" customFormat="false" ht="26.85" hidden="false" customHeight="false" outlineLevel="0" collapsed="false">
      <c r="A4" s="16" t="s">
        <v>196</v>
      </c>
      <c r="B4" s="17" t="s">
        <v>197</v>
      </c>
      <c r="C4" s="17" t="s">
        <v>198</v>
      </c>
      <c r="D4" s="17" t="s">
        <v>199</v>
      </c>
      <c r="E4" s="17" t="s">
        <v>200</v>
      </c>
      <c r="F4" s="17" t="s">
        <v>201</v>
      </c>
      <c r="G4" s="17" t="s">
        <v>202</v>
      </c>
      <c r="H4" s="17" t="s">
        <v>203</v>
      </c>
      <c r="I4" s="17" t="s">
        <v>204</v>
      </c>
    </row>
    <row r="5" customFormat="false" ht="15" hidden="false" customHeight="false" outlineLevel="0" collapsed="false">
      <c r="A5" s="18" t="s">
        <v>205</v>
      </c>
      <c r="B5" s="7" t="n">
        <v>529.05</v>
      </c>
      <c r="C5" s="37" t="n">
        <v>3930</v>
      </c>
      <c r="D5" s="37" t="n">
        <v>3980</v>
      </c>
      <c r="E5" s="38" t="n">
        <v>29.47</v>
      </c>
      <c r="F5" s="38" t="n">
        <v>26.75</v>
      </c>
      <c r="G5" s="38" t="n">
        <v>12.04</v>
      </c>
      <c r="H5" s="38" t="n">
        <v>20.57</v>
      </c>
      <c r="I5" s="39" t="n">
        <v>331.84</v>
      </c>
    </row>
    <row r="6" customFormat="false" ht="15" hidden="false" customHeight="false" outlineLevel="0" collapsed="false">
      <c r="A6" s="18" t="s">
        <v>206</v>
      </c>
      <c r="B6" s="7" t="n">
        <v>709.33</v>
      </c>
      <c r="C6" s="37" t="n">
        <v>1810</v>
      </c>
      <c r="D6" s="37" t="n">
        <v>1830</v>
      </c>
      <c r="E6" s="38" t="n">
        <v>27.76</v>
      </c>
      <c r="F6" s="38" t="n">
        <v>23.05</v>
      </c>
      <c r="G6" s="38" t="n">
        <v>7.97</v>
      </c>
      <c r="H6" s="38" t="n">
        <v>16.58</v>
      </c>
      <c r="I6" s="39" t="n">
        <v>228.25</v>
      </c>
    </row>
    <row r="7" customFormat="false" ht="15" hidden="false" customHeight="false" outlineLevel="0" collapsed="false">
      <c r="A7" s="18" t="s">
        <v>207</v>
      </c>
      <c r="B7" s="7" t="n">
        <v>250</v>
      </c>
      <c r="C7" s="37" t="n">
        <v>2700</v>
      </c>
      <c r="D7" s="37" t="n">
        <v>2830</v>
      </c>
      <c r="E7" s="38" t="n">
        <v>20.1</v>
      </c>
      <c r="F7" s="38" t="n">
        <v>26.58</v>
      </c>
      <c r="G7" s="38" t="n">
        <v>3.64</v>
      </c>
      <c r="H7" s="38" t="n">
        <v>16.73</v>
      </c>
      <c r="I7" s="39" t="n">
        <v>775.68</v>
      </c>
    </row>
    <row r="8" customFormat="false" ht="15" hidden="false" customHeight="false" outlineLevel="0" collapsed="false">
      <c r="A8" s="3" t="s">
        <v>208</v>
      </c>
      <c r="E8" s="34" t="n">
        <f aca="false">MEDIAN(E5:E7)</f>
        <v>27.76</v>
      </c>
      <c r="F8" s="34" t="n">
        <f aca="false">MEDIAN(F5:F7)</f>
        <v>26.58</v>
      </c>
      <c r="G8" s="34" t="n">
        <f aca="false">MEDIAN(G5:G7)</f>
        <v>7.97</v>
      </c>
      <c r="H8" s="34" t="n">
        <f aca="false">MEDIAN(H5:H7)</f>
        <v>16.73</v>
      </c>
    </row>
    <row r="9" customFormat="false" ht="15" hidden="false" customHeight="false" outlineLevel="0" collapsed="false">
      <c r="A9" s="3" t="s">
        <v>209</v>
      </c>
      <c r="E9" s="34" t="n">
        <f aca="false">MIN(E5:E7)</f>
        <v>20.1</v>
      </c>
      <c r="F9" s="34" t="n">
        <f aca="false">MIN(F5:F7)</f>
        <v>23.05</v>
      </c>
      <c r="G9" s="34" t="n">
        <f aca="false">MIN(G5:G7)</f>
        <v>3.64</v>
      </c>
      <c r="H9" s="34" t="n">
        <f aca="false">MIN(H5:H7)</f>
        <v>16.58</v>
      </c>
    </row>
    <row r="10" customFormat="false" ht="15" hidden="false" customHeight="false" outlineLevel="0" collapsed="false">
      <c r="A10" s="3" t="s">
        <v>210</v>
      </c>
      <c r="E10" s="34" t="n">
        <f aca="false">MAX(E5:E7)</f>
        <v>29.47</v>
      </c>
      <c r="F10" s="34" t="n">
        <f aca="false">MAX(F5:F7)</f>
        <v>26.75</v>
      </c>
      <c r="G10" s="34" t="n">
        <f aca="false">MAX(G5:G7)</f>
        <v>12.04</v>
      </c>
      <c r="H10" s="34" t="n">
        <f aca="false">MAX(H5:H7)</f>
        <v>20.57</v>
      </c>
    </row>
    <row r="12" customFormat="false" ht="15" hidden="false" customHeight="false" outlineLevel="0" collapsed="false">
      <c r="A12" s="3" t="s">
        <v>211</v>
      </c>
      <c r="B12" s="7" t="n">
        <v>340.59</v>
      </c>
      <c r="C12" s="37" t="n">
        <v>4170</v>
      </c>
      <c r="D12" s="37" t="n">
        <v>4040</v>
      </c>
      <c r="E12" s="38" t="n">
        <v>17.09</v>
      </c>
      <c r="F12" s="38" t="n">
        <v>25.57</v>
      </c>
      <c r="G12" s="38" t="n">
        <v>9.14</v>
      </c>
      <c r="H12" s="38" t="n">
        <v>23.52</v>
      </c>
      <c r="I12" s="39" t="n">
        <v>445.87</v>
      </c>
    </row>
    <row r="13" customFormat="false" ht="15" hidden="false" customHeight="false" outlineLevel="0" collapsed="false">
      <c r="A13" s="4" t="s">
        <v>212</v>
      </c>
    </row>
    <row r="15" customFormat="false" ht="15" hidden="false" customHeight="false" outlineLevel="0" collapsed="false">
      <c r="A15" s="3" t="s">
        <v>213</v>
      </c>
    </row>
    <row r="16" customFormat="false" ht="15" hidden="false" customHeight="false" outlineLevel="0" collapsed="false">
      <c r="A16" s="2" t="s">
        <v>214</v>
      </c>
      <c r="B16" s="25" t="n">
        <f aca="false">I12*1000</f>
        <v>445870</v>
      </c>
    </row>
    <row r="17" customFormat="false" ht="15" hidden="false" customHeight="false" outlineLevel="0" collapsed="false">
      <c r="A17" s="2" t="s">
        <v>215</v>
      </c>
      <c r="B17" s="9" t="n">
        <v>173160</v>
      </c>
      <c r="C17" s="4" t="s">
        <v>216</v>
      </c>
    </row>
    <row r="18" customFormat="false" ht="15" hidden="false" customHeight="false" outlineLevel="0" collapsed="false">
      <c r="A18" s="2" t="s">
        <v>217</v>
      </c>
      <c r="B18" s="29" t="n">
        <f aca="false">B12/F12</f>
        <v>13.3199061400078</v>
      </c>
    </row>
    <row r="19" customFormat="false" ht="15" hidden="false" customHeight="false" outlineLevel="0" collapsed="false">
      <c r="A19" s="2" t="s">
        <v>218</v>
      </c>
      <c r="B19" s="26" t="n">
        <f aca="false">Assumptions!B7-Assumptions!B8</f>
        <v>144309</v>
      </c>
    </row>
    <row r="20" customFormat="false" ht="15" hidden="false" customHeight="false" outlineLevel="0" collapsed="false">
      <c r="A20" s="2" t="s">
        <v>219</v>
      </c>
      <c r="B20" s="40" t="n">
        <f aca="false">Assumptions!B6</f>
        <v>12230</v>
      </c>
    </row>
    <row r="22" customFormat="false" ht="15" hidden="false" customHeight="false" outlineLevel="0" collapsed="false">
      <c r="A22" s="16" t="s">
        <v>183</v>
      </c>
      <c r="B22" s="17" t="s">
        <v>84</v>
      </c>
      <c r="C22" s="17" t="s">
        <v>220</v>
      </c>
      <c r="D22" s="17" t="s">
        <v>86</v>
      </c>
    </row>
    <row r="23" customFormat="false" ht="15" hidden="false" customHeight="false" outlineLevel="0" collapsed="false">
      <c r="A23" s="18" t="s">
        <v>221</v>
      </c>
      <c r="B23" s="29" t="n">
        <f aca="false">($B$16*G9+$B$19)/$B$20</f>
        <v>144.503336058872</v>
      </c>
      <c r="C23" s="29" t="n">
        <f aca="false">($B$16*G8+$B$19)/$B$20</f>
        <v>302.362461161079</v>
      </c>
      <c r="D23" s="29" t="n">
        <f aca="false">($B$16*G10+$B$19)/$B$20</f>
        <v>450.7427473426</v>
      </c>
    </row>
    <row r="24" customFormat="false" ht="15" hidden="false" customHeight="false" outlineLevel="0" collapsed="false">
      <c r="A24" s="18" t="s">
        <v>222</v>
      </c>
      <c r="B24" s="29" t="n">
        <f aca="false">($B$17*H9+$B$19)/$B$20</f>
        <v>246.549615699101</v>
      </c>
      <c r="C24" s="29" t="n">
        <f aca="false">($B$17*H8+$B$19)/$B$20</f>
        <v>248.673409648406</v>
      </c>
      <c r="D24" s="29" t="n">
        <f aca="false">($B$17*H10+$B$19)/$B$20</f>
        <v>303.042534750613</v>
      </c>
    </row>
    <row r="25" customFormat="false" ht="15" hidden="false" customHeight="false" outlineLevel="0" collapsed="false">
      <c r="A25" s="18" t="s">
        <v>201</v>
      </c>
      <c r="B25" s="29" t="n">
        <f aca="false">$B$18*F9</f>
        <v>307.02383652718</v>
      </c>
      <c r="C25" s="29" t="n">
        <f aca="false">$B$18*F8</f>
        <v>354.043105201408</v>
      </c>
      <c r="D25" s="29" t="n">
        <f aca="false">$B$18*F10</f>
        <v>356.307489245209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2026-10-17T03:38:09Z</dcterms:created>
  <dc:creator>openpyxl</dc:creator>
  <dc:description/>
  <dc:language>en-US</dc:language>
  <cp:lastModifiedBy/>
  <dcterms:modified xsi:type="dcterms:W3CDTF">2026-10-16T20:38:11Z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