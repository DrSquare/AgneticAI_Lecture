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<sst xmlns="http://schemas.openxmlformats.org/spreadsheetml/2006/main" count="85" uniqueCount="77">
  <si>
    <t xml:space="preserve">Embodied-AI competitor matrix — 5 startups, window 16 Oct 2025 – 16 Oct 2026</t>
  </si>
  <si>
    <t xml:space="preserve">Blue = hardcoded research inputs (see research/{company}.md for sources). Black = formulas.</t>
  </si>
  <si>
    <t xml:space="preserve">Company</t>
  </si>
  <si>
    <t xml:space="preserve">Layer</t>
  </si>
  <si>
    <t xml:space="preserve">Latest valuation ($B)</t>
  </si>
  <si>
    <t xml:space="preserve">Valuation basis</t>
  </si>
  <si>
    <t xml:space="preserve">Valuation date</t>
  </si>
  <si>
    <t xml:space="preserve">Capital raised ($B)</t>
  </si>
  <si>
    <t xml:space="preserve">Valuation / capital (x)</t>
  </si>
  <si>
    <t xml:space="preserve">Flagship product</t>
  </si>
  <si>
    <t xml:space="preserve">Revenue signal</t>
  </si>
  <si>
    <t xml:space="preserve">Named customers / partners</t>
  </si>
  <si>
    <t xml:space="preserve">Scale</t>
  </si>
  <si>
    <t xml:space="preserve">Top risk</t>
  </si>
  <si>
    <t xml:space="preserve">Momentum (12 mo)</t>
  </si>
  <si>
    <t xml:space="preserve">Figure AI</t>
  </si>
  <si>
    <t xml:space="preserve">Full-stack humanoid</t>
  </si>
  <si>
    <t xml:space="preserve">Priced (Series C post-money)</t>
  </si>
  <si>
    <t xml:space="preserve">Sep 2025</t>
  </si>
  <si>
    <t xml:space="preserve">Figure 03 + Helix 02</t>
  </si>
  <si>
    <t xml:space="preserve">Not disclosed</t>
  </si>
  <si>
    <t xml:space="preserve">BMW; Catalyst Brands</t>
  </si>
  <si>
    <t xml:space="preserve">BotQ ~1 robot/hr; 350+ Figure 03 delivered</t>
  </si>
  <si>
    <t xml:space="preserve">Valuation vs. undisclosed revenue; safety lawsuit</t>
  </si>
  <si>
    <t xml:space="preserve">Holding</t>
  </si>
  <si>
    <t xml:space="preserve">Physical Intelligence</t>
  </si>
  <si>
    <t xml:space="preserve">Model only</t>
  </si>
  <si>
    <t xml:space="preserve">Priced (Series B); &gt;$11B reported</t>
  </si>
  <si>
    <t xml:space="preserve">Nov 2025</t>
  </si>
  <si>
    <t xml:space="preserve">π0.7, π*0.6</t>
  </si>
  <si>
    <t xml:space="preserve">Pre-revenue; API beta Oct 2026</t>
  </si>
  <si>
    <t xml:space="preserve">Ultra, Weave Robotics (partners)</t>
  </si>
  <si>
    <t xml:space="preserve">Partner hardware</t>
  </si>
  <si>
    <t xml:space="preserve">No revenue; new round unconfirmed</t>
  </si>
  <si>
    <t xml:space="preserve">Gaining</t>
  </si>
  <si>
    <t xml:space="preserve">Skild AI</t>
  </si>
  <si>
    <t xml:space="preserve">Model + deployment arm</t>
  </si>
  <si>
    <t xml:space="preserve">Priced (Series C)</t>
  </si>
  <si>
    <t xml:space="preserve">Jan 2026</t>
  </si>
  <si>
    <t xml:space="preserve">Skild Brain, S1</t>
  </si>
  <si>
    <t xml:space="preserve">$100M ARR, 60+ customers (self-reported)</t>
  </si>
  <si>
    <t xml:space="preserve">Foxconn, Mitsui, Sumitomo Wiring, G10; ABB, UR</t>
  </si>
  <si>
    <t xml:space="preserve">Partner hardware; ex-Fetch team</t>
  </si>
  <si>
    <t xml:space="preserve">Self-reported metrics; partner dependence</t>
  </si>
  <si>
    <t xml:space="preserve">Agility Robotics</t>
  </si>
  <si>
    <t xml:space="preserve">Full-stack logistics humanoid</t>
  </si>
  <si>
    <t xml:space="preserve">SPAC pre-money</t>
  </si>
  <si>
    <t xml:space="preserve">Jun 2026</t>
  </si>
  <si>
    <t xml:space="preserve">Digit 5</t>
  </si>
  <si>
    <t xml:space="preserve">$1.78M 2025 sales; $300M backlog (1 customer)</t>
  </si>
  <si>
    <t xml:space="preserve">Schaeffler, GXO, Toyota, Mercado Libre</t>
  </si>
  <si>
    <t xml:space="preserve">RoboFab up to 10k/yr</t>
  </si>
  <si>
    <t xml:space="preserve">Going-concern; backlog concentration</t>
  </si>
  <si>
    <t xml:space="preserve">Under pressure</t>
  </si>
  <si>
    <t xml:space="preserve">1X Technologies</t>
  </si>
  <si>
    <t xml:space="preserve">Full-stack home humanoid</t>
  </si>
  <si>
    <t xml:space="preserve">Reported (SoftBank talks)</t>
  </si>
  <si>
    <t xml:space="preserve">Aug 2026</t>
  </si>
  <si>
    <t xml:space="preserve">NEO + 1XWM</t>
  </si>
  <si>
    <t xml:space="preserve">Pre-orders; no confirmed deliveries</t>
  </si>
  <si>
    <t xml:space="preserve">EQT portfolio (channel)</t>
  </si>
  <si>
    <t xml:space="preserve">Hayward 10k/yr capacity</t>
  </si>
  <si>
    <t xml:space="preserve">Teleoperation reliance; valuation reset</t>
  </si>
  <si>
    <t xml:space="preserve">Total / median</t>
  </si>
  <si>
    <t xml:space="preserve">Notes: Agility capital excludes ~$620M expected SPAC proceeds. 1X capital is disclosed funding only (~$125M). Skild total funding '&gt;$2B' per company. Figure total per Sacra estimate (Jun 2026).</t>
  </si>
  <si>
    <t xml:space="preserve">Profile file</t>
  </si>
  <si>
    <t xml:space="preserve">Primary sources</t>
  </si>
  <si>
    <t xml:space="preserve">research/figure-ai.md</t>
  </si>
  <si>
    <t xml:space="preserve">https://en.wikipedia.org/wiki/Figure_AI ; https://axis-intelligence.com/figure-ai-statistics/</t>
  </si>
  <si>
    <t xml:space="preserve">research/physical-intelligence.md</t>
  </si>
  <si>
    <t xml:space="preserve">https://www.humanoidsdaily.com/companies/physical-intelligence ; https://valueaddvc.com/blog/physical-intelligence-valuation-2026-robot-foundation-models</t>
  </si>
  <si>
    <t xml:space="preserve">research/skild-ai.md</t>
  </si>
  <si>
    <t xml:space="preserve">https://www.businesswire.com/news/home/20260114335623/en/ ; https://www.humanoidsdaily.com/companies/skild-ai</t>
  </si>
  <si>
    <t xml:space="preserve">research/agility-robotics.md</t>
  </si>
  <si>
    <t xml:space="preserve">https://www.geekwire.com/2026/digit-maker-agility-robotics-to-go-public-in-2-5b-deal-heres-what-the-filings-say-about-its-finances/ ; https://theaiinsider.tech/2026/10/14/agility-robotics-clears-sec-step-on-path-to-becoming-publicly-listed-humanoid-robot-company/</t>
  </si>
  <si>
    <t xml:space="preserve">research/1x-technologies.md</t>
  </si>
  <si>
    <t xml:space="preserve">https://en.wikipedia.org/wiki/1X_Technologies ; https://www.humanoidsdaily.com/companies/1x-technologies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</si>
</sst>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"/>
    <numFmt numFmtId="166" formatCode="\$#,##0.00"/>
    <numFmt numFmtId="167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28"/>
    <col collapsed="false" customWidth="true" hidden="false" outlineLevel="0" max="12" min="12" style="0" width="32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6.85" hidden="false" customHeight="false" outlineLevel="0" collapsed="false">
      <c r="A5" s="4" t="s">
        <v>15</v>
      </c>
      <c r="B5" s="5" t="s">
        <v>16</v>
      </c>
      <c r="C5" s="6" t="n">
        <v>39</v>
      </c>
      <c r="D5" s="5" t="s">
        <v>17</v>
      </c>
      <c r="E5" s="5" t="s">
        <v>18</v>
      </c>
      <c r="F5" s="7" t="n">
        <v>1.9</v>
      </c>
      <c r="G5" s="8" t="n">
        <f aca="false">IFERROR(C5/F5,"-")</f>
        <v>20.5263157894737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</row>
    <row r="6" customFormat="false" ht="26.85" hidden="false" customHeight="false" outlineLevel="0" collapsed="false">
      <c r="A6" s="4" t="s">
        <v>25</v>
      </c>
      <c r="B6" s="5" t="s">
        <v>26</v>
      </c>
      <c r="C6" s="6" t="n">
        <v>5.6</v>
      </c>
      <c r="D6" s="5" t="s">
        <v>27</v>
      </c>
      <c r="E6" s="5" t="s">
        <v>28</v>
      </c>
      <c r="F6" s="7" t="n">
        <v>1.1</v>
      </c>
      <c r="G6" s="8" t="n">
        <f aca="false">IFERROR(C6/F6,"-")</f>
        <v>5.09090909090909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</row>
    <row r="7" customFormat="false" ht="26.85" hidden="false" customHeight="false" outlineLevel="0" collapsed="false">
      <c r="A7" s="4" t="s">
        <v>35</v>
      </c>
      <c r="B7" s="5" t="s">
        <v>36</v>
      </c>
      <c r="C7" s="6" t="n">
        <v>14</v>
      </c>
      <c r="D7" s="5" t="s">
        <v>37</v>
      </c>
      <c r="E7" s="5" t="s">
        <v>38</v>
      </c>
      <c r="F7" s="7" t="n">
        <v>2</v>
      </c>
      <c r="G7" s="8" t="n">
        <f aca="false">IFERROR(C7/F7,"-")</f>
        <v>7</v>
      </c>
      <c r="H7" s="5" t="s">
        <v>39</v>
      </c>
      <c r="I7" s="5" t="s">
        <v>40</v>
      </c>
      <c r="J7" s="5" t="s">
        <v>41</v>
      </c>
      <c r="K7" s="5" t="s">
        <v>42</v>
      </c>
      <c r="L7" s="5" t="s">
        <v>43</v>
      </c>
      <c r="M7" s="5" t="s">
        <v>34</v>
      </c>
    </row>
    <row r="8" customFormat="false" ht="26.85" hidden="false" customHeight="false" outlineLevel="0" collapsed="false">
      <c r="A8" s="4" t="s">
        <v>44</v>
      </c>
      <c r="B8" s="5" t="s">
        <v>45</v>
      </c>
      <c r="C8" s="6" t="n">
        <v>2.5</v>
      </c>
      <c r="D8" s="5" t="s">
        <v>46</v>
      </c>
      <c r="E8" s="5" t="s">
        <v>47</v>
      </c>
      <c r="F8" s="7" t="n">
        <v>0.39</v>
      </c>
      <c r="G8" s="8" t="n">
        <f aca="false">IFERROR(C8/F8,"-")</f>
        <v>6.41025641025641</v>
      </c>
      <c r="H8" s="5" t="s">
        <v>48</v>
      </c>
      <c r="I8" s="5" t="s">
        <v>49</v>
      </c>
      <c r="J8" s="5" t="s">
        <v>50</v>
      </c>
      <c r="K8" s="5" t="s">
        <v>51</v>
      </c>
      <c r="L8" s="5" t="s">
        <v>52</v>
      </c>
      <c r="M8" s="5" t="s">
        <v>53</v>
      </c>
    </row>
    <row r="9" customFormat="false" ht="26.85" hidden="false" customHeight="false" outlineLevel="0" collapsed="false">
      <c r="A9" s="4" t="s">
        <v>54</v>
      </c>
      <c r="B9" s="5" t="s">
        <v>55</v>
      </c>
      <c r="C9" s="6" t="n">
        <v>6</v>
      </c>
      <c r="D9" s="5" t="s">
        <v>56</v>
      </c>
      <c r="E9" s="5" t="s">
        <v>57</v>
      </c>
      <c r="F9" s="7" t="n">
        <v>0.125</v>
      </c>
      <c r="G9" s="8" t="n">
        <f aca="false">IFERROR(C9/F9,"-")</f>
        <v>48</v>
      </c>
      <c r="H9" s="5" t="s">
        <v>58</v>
      </c>
      <c r="I9" s="5" t="s">
        <v>59</v>
      </c>
      <c r="J9" s="5" t="s">
        <v>60</v>
      </c>
      <c r="K9" s="5" t="s">
        <v>61</v>
      </c>
      <c r="L9" s="5" t="s">
        <v>62</v>
      </c>
      <c r="M9" s="5" t="s">
        <v>53</v>
      </c>
    </row>
    <row r="10" customFormat="false" ht="15" hidden="false" customHeight="false" outlineLevel="0" collapsed="false">
      <c r="A10" s="9" t="s">
        <v>63</v>
      </c>
      <c r="C10" s="10" t="n">
        <f aca="false">SUM(C5:C9)</f>
        <v>67.1</v>
      </c>
      <c r="F10" s="11" t="n">
        <f aca="false">SUM(F5:F9)</f>
        <v>5.515</v>
      </c>
      <c r="G10" s="12" t="n">
        <f aca="false">MEDIAN(G5:G9)</f>
        <v>7</v>
      </c>
    </row>
    <row r="12" customFormat="false" ht="15" hidden="false" customHeight="false" outlineLevel="0" collapsed="false">
      <c r="A12" s="1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9" t="s">
        <v>2</v>
      </c>
      <c r="B1" s="9" t="s">
        <v>65</v>
      </c>
      <c r="C1" s="9" t="s">
        <v>66</v>
      </c>
    </row>
    <row r="2" customFormat="false" ht="15" hidden="false" customHeight="false" outlineLevel="0" collapsed="false">
      <c r="A2" s="14" t="s">
        <v>15</v>
      </c>
      <c r="B2" s="14" t="s">
        <v>67</v>
      </c>
      <c r="C2" s="14" t="s">
        <v>68</v>
      </c>
    </row>
    <row r="3" customFormat="false" ht="26.85" hidden="false" customHeight="false" outlineLevel="0" collapsed="false">
      <c r="A3" s="14" t="s">
        <v>25</v>
      </c>
      <c r="B3" s="14" t="s">
        <v>69</v>
      </c>
      <c r="C3" s="14" t="s">
        <v>70</v>
      </c>
    </row>
    <row r="4" customFormat="false" ht="15" hidden="false" customHeight="false" outlineLevel="0" collapsed="false">
      <c r="A4" s="14" t="s">
        <v>35</v>
      </c>
      <c r="B4" s="14" t="s">
        <v>71</v>
      </c>
      <c r="C4" s="14" t="s">
        <v>72</v>
      </c>
    </row>
    <row r="5" customFormat="false" ht="39.55" hidden="false" customHeight="false" outlineLevel="0" collapsed="false">
      <c r="A5" s="14" t="s">
        <v>44</v>
      </c>
      <c r="B5" s="14" t="s">
        <v>73</v>
      </c>
      <c r="C5" s="14" t="s">
        <v>74</v>
      </c>
    </row>
    <row r="6" customFormat="false" ht="15" hidden="false" customHeight="false" outlineLevel="0" collapsed="false">
      <c r="A6" s="14" t="s">
        <v>54</v>
      </c>
      <c r="B6" s="14" t="s">
        <v>75</v>
      </c>
      <c r="C6" s="1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2026-10-17T03:31:13Z</dcterms:created>
  <dc:creator>openpyxl</dc:creator>
  <dc:description/>
  <dc:language>en-US</dc:language>
  <cp:lastModifiedBy/>
  <dcterms:modified xsi:type="dcterms:W3CDTF">2026-10-17T03:31:13Z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